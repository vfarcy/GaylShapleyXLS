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etesiea-my.sharepoint.com/personal/valery_farcy_esiea_fr/Documents/Dev/GaylShapleyXLS/"/>
    </mc:Choice>
  </mc:AlternateContent>
  <xr:revisionPtr revIDLastSave="210601" documentId="8_{97D89E17-79FF-43A7-A7D2-0CABDDFFC954}" xr6:coauthVersionLast="47" xr6:coauthVersionMax="47" xr10:uidLastSave="{BAFAAA96-1CD1-4F51-AEE5-941EA989D315}"/>
  <bookViews>
    <workbookView xWindow="28680" yWindow="-120" windowWidth="29040" windowHeight="15720" tabRatio="590" xr2:uid="{5F19B94E-CCE0-4071-A7C5-FECEEFAC3327}"/>
  </bookViews>
  <sheets>
    <sheet name="Home" sheetId="1" r:id="rId1"/>
    <sheet name="Préférences_Élèves" sheetId="2" r:id="rId2"/>
    <sheet name="Préférences_Projets" sheetId="3" r:id="rId3"/>
    <sheet name="Résultats" sheetId="10" r:id="rId4"/>
    <sheet name="Log_Affectation" sheetId="7" r:id="rId5"/>
    <sheet name="Affectations_par_Projet" sheetId="8" r:id="rId6"/>
    <sheet name="Rapport_Satisfaction" sheetId="6" r:id="rId7"/>
    <sheet name="Bilan_Performance" sheetId="11" r:id="rId8"/>
    <sheet name="Details_Suivi" sheetId="14" r:id="rId9"/>
    <sheet name="Verification_Finale" sheetId="13" r:id="rId10"/>
    <sheet name="Dashboard" sheetId="15" r:id="rId1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1" i="13" l="1"/>
  <c r="C30" i="13"/>
  <c r="C29" i="13"/>
  <c r="C27" i="13"/>
  <c r="C26" i="13"/>
  <c r="C25" i="13"/>
  <c r="C24" i="13"/>
  <c r="C23" i="13"/>
  <c r="C22" i="13"/>
  <c r="C21" i="13"/>
  <c r="C20" i="13"/>
  <c r="C19" i="13"/>
  <c r="C18" i="13"/>
  <c r="C17" i="13"/>
  <c r="C16" i="13"/>
  <c r="C15" i="13"/>
  <c r="C14" i="13"/>
  <c r="C13" i="13"/>
  <c r="C12" i="13"/>
  <c r="C11" i="13"/>
  <c r="C10" i="13"/>
  <c r="C9" i="13"/>
  <c r="C8" i="13"/>
  <c r="C7" i="13"/>
  <c r="C6" i="13"/>
  <c r="C5" i="13"/>
  <c r="C4" i="13"/>
  <c r="C3" i="13"/>
  <c r="C2"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tc={25C3A222-D39A-45EC-9176-0812B503121E}</author>
  </authors>
  <commentList>
    <comment ref="D14" authorId="0" shapeId="0" xr:uid="{25C3A222-D39A-45EC-9176-0812B503121E}">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Moyenne Satisfaction Élèves : La moyenne des rangs de vœu des élèves de l'équipe. Plus ce chiffre est bas, plus l'équipe est contente d'être là.
Écart-type Satis. Élèves : La dispersion de cette satisfaction.
Moyenne Qualité Équipe : La moyenne des rangs que le projet a donnés aux membres de son équipe. Plus ce chiffre est bas, plus le projet est content de son équipe.
Écart-type Qualité Équipe : La dispersion de cette "qualité".
Membres de l'équipe : La liste des élèves affectés.
</t>
      </text>
    </comment>
  </commentList>
</comments>
</file>

<file path=xl/sharedStrings.xml><?xml version="1.0" encoding="utf-8"?>
<sst xmlns="http://schemas.openxmlformats.org/spreadsheetml/2006/main" count="1482" uniqueCount="671">
  <si>
    <t>Élève</t>
  </si>
  <si>
    <t>Choix 1</t>
  </si>
  <si>
    <t>Élève 1</t>
  </si>
  <si>
    <t>Projet A</t>
  </si>
  <si>
    <t>Élève 2</t>
  </si>
  <si>
    <t>Projet</t>
  </si>
  <si>
    <t>https://gemini.google.com/app/b783535efbd61b74</t>
  </si>
  <si>
    <t>Erreur macro / config du PC : (Frawework .Net3_5 absent)</t>
  </si>
  <si>
    <t>Élèves Affectés</t>
  </si>
  <si>
    <t>Statut Capacité</t>
  </si>
  <si>
    <t>Min</t>
  </si>
  <si>
    <t>Max</t>
  </si>
  <si>
    <t>Choix 2</t>
  </si>
  <si>
    <t>Projet B</t>
  </si>
  <si>
    <t>Élève 3</t>
  </si>
  <si>
    <t>Élève 4</t>
  </si>
  <si>
    <t>Élève 5</t>
  </si>
  <si>
    <t>Élève 6</t>
  </si>
  <si>
    <t>Élève 7</t>
  </si>
  <si>
    <t>Élève 8</t>
  </si>
  <si>
    <t>Élève 9</t>
  </si>
  <si>
    <t>Élève 10</t>
  </si>
  <si>
    <t>Projet Affecté</t>
  </si>
  <si>
    <t>Rang du Choix</t>
  </si>
  <si>
    <t>Satisfaction moyenne :</t>
  </si>
  <si>
    <t>Écart-type des rangs :</t>
  </si>
  <si>
    <t>Résultats</t>
  </si>
  <si>
    <t>Préférences_Projets</t>
  </si>
  <si>
    <t>Préférences_Élèves</t>
  </si>
  <si>
    <t>https://g.co/gemini/share/2ccfcafd0a61</t>
  </si>
  <si>
    <t>Affectations_par_Projet</t>
  </si>
  <si>
    <t>BILAN DU POINT DE VUE DES ÉLÈVES</t>
  </si>
  <si>
    <t>Nombre total d'élèves</t>
  </si>
  <si>
    <t>Nombre d'élèves affectés</t>
  </si>
  <si>
    <t>Nombre d'élèves non affectés</t>
  </si>
  <si>
    <t>Taux d'affectation</t>
  </si>
  <si>
    <t>100,0%</t>
  </si>
  <si>
    <t>Satisfaction moyenne (rang du vœu)</t>
  </si>
  <si>
    <t>Écart-type des rangs (équité)</t>
  </si>
  <si>
    <t>Élèves ayant obtenu leur 1er vœu</t>
  </si>
  <si>
    <t>Élèves ayant obtenu leur 2ème vœu</t>
  </si>
  <si>
    <t>Élèves ayant obtenu leur 3ème vœu</t>
  </si>
  <si>
    <t>BILAN DU POINT DE VUE DES PROJETS</t>
  </si>
  <si>
    <t>Nombre total de projets</t>
  </si>
  <si>
    <t>Projets ayant atteint leur capacité Min.</t>
  </si>
  <si>
    <t>Nombre total de places remplies</t>
  </si>
  <si>
    <t>Capacité d'accueil maximale totale</t>
  </si>
  <si>
    <t>Taux d'occupation global</t>
  </si>
  <si>
    <t>Diagnostic</t>
  </si>
  <si>
    <t>OK</t>
  </si>
  <si>
    <t>Étape</t>
  </si>
  <si>
    <t>Action de l'Élève</t>
  </si>
  <si>
    <t>Décision du Projet</t>
  </si>
  <si>
    <t>Statut du Projet</t>
  </si>
  <si>
    <t>Élèves libres</t>
  </si>
  <si>
    <t>Le projet a de la place. ACCEPTATION PROVISOIRE.</t>
  </si>
  <si>
    <t>Aucun</t>
  </si>
  <si>
    <t>Taux de projets 'satisfaits'</t>
  </si>
  <si>
    <t>Projet Affecté (lu)</t>
  </si>
  <si>
    <t>Vœux de l'élève (lus) -&gt;</t>
  </si>
  <si>
    <t>Rang Calculé</t>
  </si>
  <si>
    <t>Choix 3</t>
  </si>
  <si>
    <t>Projet C</t>
  </si>
  <si>
    <t>Membres de l'équipe -&gt;</t>
  </si>
  <si>
    <t>Bilan_Performance</t>
  </si>
  <si>
    <t>Pas  à pas</t>
  </si>
  <si>
    <t>Les affectations par élève</t>
  </si>
  <si>
    <t>Élèves sans projet :</t>
  </si>
  <si>
    <t>Projets n'atteignant pas leur minimum :</t>
  </si>
  <si>
    <t>Projets sans aucun élève :</t>
  </si>
  <si>
    <t>Cliquer ici pour voir les listes de suivi détaillées</t>
  </si>
  <si>
    <t>LISTES DE SUIVI DÉTAILLÉES</t>
  </si>
  <si>
    <t>Details_Suivi</t>
  </si>
  <si>
    <t>Projet D</t>
  </si>
  <si>
    <t>Choix 4</t>
  </si>
  <si>
    <t>Moy. Satisfaction Élèves</t>
  </si>
  <si>
    <t>Écart-type Satis. Élèves</t>
  </si>
  <si>
    <t>Moy. Qualité Équipe</t>
  </si>
  <si>
    <t>Écart-type Qualité Équipe</t>
  </si>
  <si>
    <t>Verification</t>
  </si>
  <si>
    <t>Élève 11</t>
  </si>
  <si>
    <t>Élève 12</t>
  </si>
  <si>
    <t>Élève 13</t>
  </si>
  <si>
    <t>Élève 14</t>
  </si>
  <si>
    <t>Élève 15</t>
  </si>
  <si>
    <t>Élève 16</t>
  </si>
  <si>
    <t>Élève 17</t>
  </si>
  <si>
    <t>Élève 18</t>
  </si>
  <si>
    <t>Élève 19</t>
  </si>
  <si>
    <t>Élève 20</t>
  </si>
  <si>
    <t>Élève 21</t>
  </si>
  <si>
    <t>Élève 22</t>
  </si>
  <si>
    <t>Élève 23</t>
  </si>
  <si>
    <t>Élève 24</t>
  </si>
  <si>
    <t>Élève 25</t>
  </si>
  <si>
    <t>Élève 26</t>
  </si>
  <si>
    <t>Élève 27</t>
  </si>
  <si>
    <t>Élève 28</t>
  </si>
  <si>
    <t>Projet E</t>
  </si>
  <si>
    <t>Projet F</t>
  </si>
  <si>
    <t>Projet G</t>
  </si>
  <si>
    <t>Choix 5</t>
  </si>
  <si>
    <t>Élève 3 propose au Projet B (son choix n°1).</t>
  </si>
  <si>
    <t>Dashboard</t>
  </si>
  <si>
    <t>OK (3/3)</t>
  </si>
  <si>
    <t>Projet B: Élève 3</t>
  </si>
  <si>
    <t>Élève 8 propose au Projet C (son choix n°1).</t>
  </si>
  <si>
    <t>Élève 11 propose au Projet C (son choix n°1).</t>
  </si>
  <si>
    <t>Projet C: Élève 8, Élève 11</t>
  </si>
  <si>
    <t>Le projet est plein. Élève 15 n'est pas meilleur. REJET.</t>
  </si>
  <si>
    <t>Élève 17 propose au Projet A (son choix n°1).</t>
  </si>
  <si>
    <t>Le projet est plein. Élève 6 n'est pas meilleur. REJET.</t>
  </si>
  <si>
    <t>71,4%</t>
  </si>
  <si>
    <t>Élève 29</t>
  </si>
  <si>
    <t>Élève 30</t>
  </si>
  <si>
    <t>Élève 31</t>
  </si>
  <si>
    <t>OK (6/6)</t>
  </si>
  <si>
    <t>Élève 1 propose au Projet D (son choix n°1).</t>
  </si>
  <si>
    <t>Projet D: Élève 1</t>
  </si>
  <si>
    <t>Élève 2, Élève 3, Élève 4, Élève 5, Élève 6, Élève 7, Élève 8, Élève 9, Élève 10, Élève 11, Élève 12, Élève 13, 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t>
  </si>
  <si>
    <t>Élève 2 propose au Projet C (son choix n°1).</t>
  </si>
  <si>
    <t>Projet C: Élève 2</t>
  </si>
  <si>
    <t>Élève 3, Élève 4, Élève 5, Élève 6, Élève 7, Élève 8, Élève 9, Élève 10, Élève 11, Élève 12, Élève 13, 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t>
  </si>
  <si>
    <t>Élève 4, Élève 5, Élève 6, Élève 7, Élève 8, Élève 9, Élève 10, Élève 11, Élève 12, Élève 13, 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t>
  </si>
  <si>
    <t>Élève 4 propose au Projet D (son choix n°1).</t>
  </si>
  <si>
    <t>Projet D: Élève 1, Élève 4</t>
  </si>
  <si>
    <t>Élève 5, Élève 6, Élève 7, Élève 8, Élève 9, Élève 10, Élève 11, Élève 12, Élève 13, 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t>
  </si>
  <si>
    <t>Élève 5 propose au Projet A (son choix n°1).</t>
  </si>
  <si>
    <t>Projet A: Élève 5</t>
  </si>
  <si>
    <t>Élève 6, Élève 7, Élève 8, Élève 9, Élève 10, Élève 11, Élève 12, Élève 13, 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t>
  </si>
  <si>
    <t>Élève 6 propose au Projet D (son choix n°1).</t>
  </si>
  <si>
    <t>Projet D: Élève 1, Élève 4, Élève 6</t>
  </si>
  <si>
    <t>Élève 7, Élève 8, Élève 9, Élève 10, Élève 11, Élève 12, Élève 13, 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t>
  </si>
  <si>
    <t>Élève 7 propose au Projet B (son choix n°1).</t>
  </si>
  <si>
    <t>Projet B: Élève 3, Élève 7</t>
  </si>
  <si>
    <t>Élève 8, Élève 9, Élève 10, Élève 11, Élève 12, Élève 13, 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t>
  </si>
  <si>
    <t>Projet C: Élève 2, Élève 8</t>
  </si>
  <si>
    <t>Élève 9, Élève 10, Élève 11, Élève 12, Élève 13, 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t>
  </si>
  <si>
    <t>Élève 9 propose au Projet A (son choix n°1).</t>
  </si>
  <si>
    <t>Projet A: Élève 5, Élève 9</t>
  </si>
  <si>
    <t>Élève 10, Élève 11, Élève 12, Élève 13, 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t>
  </si>
  <si>
    <t>Élève 10 propose au Projet D (son choix n°1).</t>
  </si>
  <si>
    <t>Projet D: Élève 1, Élève 4, Élève 6, Élève 10</t>
  </si>
  <si>
    <t>Élève 11, Élève 12, Élève 13, 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t>
  </si>
  <si>
    <t>Le projet est plein. Élève 11 est meilleur que Élève 2. ACCEPTATION et ÉVICTION.</t>
  </si>
  <si>
    <t>Élève 12, Élève 13, 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t>
  </si>
  <si>
    <t>Élève 12 propose au Projet B (son choix n°1).</t>
  </si>
  <si>
    <t>Projet B: Élève 3, Élève 7, Élève 12</t>
  </si>
  <si>
    <t>Élève 13, 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t>
  </si>
  <si>
    <t>Élève 13 propose au Projet D (son choix n°1).</t>
  </si>
  <si>
    <t>Projet D: Élève 1, Élève 4, Élève 6, Élève 10, Élève 13</t>
  </si>
  <si>
    <t>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t>
  </si>
  <si>
    <t>Élève 14 propose au Projet A (son choix n°1).</t>
  </si>
  <si>
    <t>Projet A: Élève 5, Élève 9, Élève 14</t>
  </si>
  <si>
    <t>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t>
  </si>
  <si>
    <t>Élève 15 propose au Projet C (son choix n°1).</t>
  </si>
  <si>
    <t>Le projet est plein. Élève 15 est meilleur que Élève 11. ACCEPTATION et ÉVICTION.</t>
  </si>
  <si>
    <t>Projet C: Élève 8, Élève 15</t>
  </si>
  <si>
    <t>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 Élève 11</t>
  </si>
  <si>
    <t>Élève 16 propose au Projet B (son choix n°1).</t>
  </si>
  <si>
    <t>Projet B: Élève 3, Élève 7, Élève 12, Élève 16</t>
  </si>
  <si>
    <t>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 Élève 11</t>
  </si>
  <si>
    <t>Le projet est plein. Élève 17 n'est pas meilleur. REJET.</t>
  </si>
  <si>
    <t>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 Élève 11, Élève 17</t>
  </si>
  <si>
    <t>Élève 18 propose au Projet C (son choix n°1).</t>
  </si>
  <si>
    <t>Le projet est plein. Élève 18 n'est pas meilleur. REJET.</t>
  </si>
  <si>
    <t>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 Élève 11, Élève 17, Élève 18</t>
  </si>
  <si>
    <t>Élève 19 propose au Projet A (son choix n°1).</t>
  </si>
  <si>
    <t>Le projet est plein. Élève 19 n'est pas meilleur. REJET.</t>
  </si>
  <si>
    <t>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 Élève 11, Élève 17, Élève 18, Élève 19</t>
  </si>
  <si>
    <t>Élève 20 propose au Projet D (son choix n°1).</t>
  </si>
  <si>
    <t>Projet D: Élève 1, Élève 4, Élève 6, Élève 10, Élève 13, Élève 20</t>
  </si>
  <si>
    <t>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 Élève 11, Élève 17, Élève 18, Élève 19</t>
  </si>
  <si>
    <t>Élève 21 propose au Projet C (son choix n°1).</t>
  </si>
  <si>
    <t>Le projet est plein. Élève 21 est meilleur que Élève 8. ACCEPTATION et ÉVICTION.</t>
  </si>
  <si>
    <t>Projet C: Élève 15, Élève 21</t>
  </si>
  <si>
    <t>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 Élève 11, Élève 17, Élève 18, Élève 19, Élève 8</t>
  </si>
  <si>
    <t>Élève 22 propose au Projet A (son choix n°1).</t>
  </si>
  <si>
    <t>Le projet est plein. Élève 22 n'est pas meilleur. REJET.</t>
  </si>
  <si>
    <t>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 Élève 11, Élève 17, Élève 18, Élève 19, Élève 8, Élève 22</t>
  </si>
  <si>
    <t>Élève 23 propose au Projet D (son choix n°1).</t>
  </si>
  <si>
    <t>Le projet est plein. Élève 23 n'est pas meilleur. REJET.</t>
  </si>
  <si>
    <t>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 Élève 11, Élève 17, Élève 18, Élève 19, Élève 8, Élève 22, Élève 23</t>
  </si>
  <si>
    <t>Élève 24 propose au Projet C (son choix n°1).</t>
  </si>
  <si>
    <t>Le projet est plein. Élève 24 n'est pas meilleur. REJET.</t>
  </si>
  <si>
    <t>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 Élève 11, Élève 17, Élève 18, Élève 19, Élève 8, Élève 22, Élève 23, Élève 24</t>
  </si>
  <si>
    <t>Élève 25 propose au Projet B (son choix n°1).</t>
  </si>
  <si>
    <t>Projet B: Élève 3, Élève 7, Élève 12, Élève 16, Élève 25</t>
  </si>
  <si>
    <t>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 Élève 11, Élève 17, Élève 18, Élève 19, Élève 8, Élève 22, Élève 23, Élève 24</t>
  </si>
  <si>
    <t>Élève 26 propose au Projet D (son choix n°1).</t>
  </si>
  <si>
    <t>Le projet est plein. Élève 26 est meilleur que Élève 4. ACCEPTATION et ÉVICTION.</t>
  </si>
  <si>
    <t>Projet D: Élève 1, Élève 6, Élève 10, Élève 13, Élève 20, Élève 26</t>
  </si>
  <si>
    <t>Élève 27, Élève 28, Élève 29, Élève 30, Élève 31, Élève 32, Élève 33, Élève 34, Élève 35, Élève 36, Élève 37, Élève 38, Élève 39, Élève 40, Élève 41, Élève 42, Élève 43, Élève 44, Élève 45, Élève 46, Élève 47, Élève 48, Élève 49, Élève 50, Élève 2, Élève 11, Élève 17, Élève 18, Élève 19, Élève 8, Élève 22, Élève 23, Élève 24, Élève 4</t>
  </si>
  <si>
    <t>Élève 27 propose au Projet C (son choix n°1).</t>
  </si>
  <si>
    <t>Le projet est plein. Élève 27 n'est pas meilleur. REJET.</t>
  </si>
  <si>
    <t>Élève 28, Élève 29, Élève 30, Élève 31, Élève 32, Élève 33, Élève 34, Élève 35, Élève 36, Élève 37, Élève 38, Élève 39, Élève 40, Élève 41, Élève 42, Élève 43, Élève 44, Élève 45, Élève 46, Élève 47, Élève 48, Élève 49, Élève 50, Élève 2, Élève 11, Élève 17, Élève 18, Élève 19, Élève 8, Élève 22, Élève 23, Élève 24, Élève 4, Élève 27</t>
  </si>
  <si>
    <t>Élève 28 propose au Projet A (son choix n°1).</t>
  </si>
  <si>
    <t>Le projet est plein. Élève 28 est meilleur que Élève 14. ACCEPTATION et ÉVICTION.</t>
  </si>
  <si>
    <t>Projet A: Élève 5, Élève 9, Élève 28</t>
  </si>
  <si>
    <t>Élève 29, Élève 30, Élève 31, Élève 32, Élève 33, Élève 34, Élève 35, Élève 36, Élève 37, Élève 38, Élève 39, Élève 40, Élève 41, Élève 42, Élève 43, Élève 44, Élève 45, Élève 46, Élève 47, Élève 48, Élève 49, Élève 50, Élève 2, Élève 11, Élève 17, Élève 18, Élève 19, Élève 8, Élève 22, Élève 23, Élève 24, Élève 4, Élève 27, Élève 14</t>
  </si>
  <si>
    <t>Élève 29 propose au Projet C (son choix n°1).</t>
  </si>
  <si>
    <t>Le projet est plein. Élève 29 n'est pas meilleur. REJET.</t>
  </si>
  <si>
    <t>Élève 30, Élève 31, Élève 32, Élève 33, Élève 34, Élève 35, Élève 36, Élève 37, Élève 38, Élève 39, Élève 40, Élève 41, Élève 42, Élève 43, Élève 44, Élève 45, Élève 46, Élève 47, Élève 48, Élève 49, Élève 50, Élève 2, Élève 11, Élève 17, Élève 18, Élève 19, Élève 8, Élève 22, Élève 23, Élève 24, Élève 4, Élève 27, Élève 14, Élève 29</t>
  </si>
  <si>
    <t>Élève 30 propose au Projet E (son choix n°1).</t>
  </si>
  <si>
    <t>Projet E: Élève 30</t>
  </si>
  <si>
    <t>Élève 31, Élève 32, Élève 33, Élève 34, Élève 35, Élève 36, Élève 37, Élève 38, Élève 39, Élève 40, Élève 41, Élève 42, Élève 43, Élève 44, Élève 45, Élève 46, Élève 47, Élève 48, Élève 49, Élève 50, Élève 2, Élève 11, Élève 17, Élève 18, Élève 19, Élève 8, Élève 22, Élève 23, Élève 24, Élève 4, Élève 27, Élève 14, Élève 29</t>
  </si>
  <si>
    <t>Élève 31 propose au Projet A (son choix n°1).</t>
  </si>
  <si>
    <t>Le projet est plein. Élève 31 est meilleur que Élève 5. ACCEPTATION et ÉVICTION.</t>
  </si>
  <si>
    <t>Projet A: Élève 9, Élève 28, Élève 31</t>
  </si>
  <si>
    <t>Élève 32, Élève 33, Élève 34, Élève 35, Élève 36, Élève 37, Élève 38, Élève 39, Élève 40, Élève 41, Élève 42, Élève 43, Élève 44, Élève 45, Élève 46, Élève 47, Élève 48, Élève 49, Élève 50, Élève 2, Élève 11, Élève 17, Élève 18, Élève 19, Élève 8, Élève 22, Élève 23, Élève 24, Élève 4, Élève 27, Élève 14, Élève 29, Élève 5</t>
  </si>
  <si>
    <t>Élève 32 propose au Projet B (son choix n°1).</t>
  </si>
  <si>
    <t>Projet B: Élève 3, Élève 7, Élève 12, Élève 16, Élève 25, Élève 32</t>
  </si>
  <si>
    <t>Élève 33, Élève 34, Élève 35, Élève 36, Élève 37, Élève 38, Élève 39, Élève 40, Élève 41, Élève 42, Élève 43, Élève 44, Élève 45, Élève 46, Élève 47, Élève 48, Élève 49, Élève 50, Élève 2, Élève 11, Élève 17, Élève 18, Élève 19, Élève 8, Élève 22, Élève 23, Élève 24, Élève 4, Élève 27, Élève 14, Élève 29, Élève 5</t>
  </si>
  <si>
    <t>Élève 33 propose au Projet E (son choix n°1).</t>
  </si>
  <si>
    <t>Projet E: Élève 30, Élève 33</t>
  </si>
  <si>
    <t>Élève 34, Élève 35, Élève 36, Élève 37, Élève 38, Élève 39, Élève 40, Élève 41, Élève 42, Élève 43, Élève 44, Élève 45, Élève 46, Élève 47, Élève 48, Élève 49, Élève 50, Élève 2, Élève 11, Élève 17, Élève 18, Élève 19, Élève 8, Élève 22, Élève 23, Élève 24, Élève 4, Élève 27, Élève 14, Élève 29, Élève 5</t>
  </si>
  <si>
    <t>Élève 34 propose au Projet B (son choix n°1).</t>
  </si>
  <si>
    <t>Le projet est plein. Élève 34 est meilleur que Élève 12. ACCEPTATION et ÉVICTION.</t>
  </si>
  <si>
    <t>Projet B: Élève 3, Élève 7, Élève 16, Élève 25, Élève 32, Élève 34</t>
  </si>
  <si>
    <t>Élève 35, Élève 36, Élève 37, Élève 38, Élève 39, Élève 40, Élève 41, Élève 42, Élève 43, Élève 44, Élève 45, Élève 46, Élève 47, Élève 48, Élève 49, Élève 50, Élève 2, Élève 11, Élève 17, Élève 18, Élève 19, Élève 8, Élève 22, Élève 23, Élève 24, Élève 4, Élève 27, Élève 14, Élève 29, Élève 5, Élève 12</t>
  </si>
  <si>
    <t>Élève 35 propose au Projet A (son choix n°1).</t>
  </si>
  <si>
    <t>Le projet est plein. Élève 35 n'est pas meilleur. REJET.</t>
  </si>
  <si>
    <t>Élève 36, Élève 37, Élève 38, Élève 39, Élève 40, Élève 41, Élève 42, Élève 43, Élève 44, Élève 45, Élève 46, Élève 47, Élève 48, Élève 49, Élève 50, Élève 2, Élève 11, Élève 17, Élève 18, Élève 19, Élève 8, Élève 22, Élève 23, Élève 24, Élève 4, Élève 27, Élève 14, Élève 29, Élève 5, Élève 12, Élève 35</t>
  </si>
  <si>
    <t>Élève 36 propose au Projet E (son choix n°1).</t>
  </si>
  <si>
    <t>Projet E: Élève 30, Élève 33, Élève 36</t>
  </si>
  <si>
    <t>Élève 37, Élève 38, Élève 39, Élève 40, Élève 41, Élève 42, Élève 43, Élève 44, Élève 45, Élève 46, Élève 47, Élève 48, Élève 49, Élève 50, Élève 2, Élève 11, Élève 17, Élève 18, Élève 19, Élève 8, Élève 22, Élève 23, Élève 24, Élève 4, Élève 27, Élève 14, Élève 29, Élève 5, Élève 12, Élève 35</t>
  </si>
  <si>
    <t>Élève 37 propose au Projet D (son choix n°1).</t>
  </si>
  <si>
    <t>Le projet est plein. Élève 37 est meilleur que Élève 6. ACCEPTATION et ÉVICTION.</t>
  </si>
  <si>
    <t>Projet D: Élève 1, Élève 10, Élève 13, Élève 20, Élève 26, Élève 37</t>
  </si>
  <si>
    <t>Élève 38, Élève 39, Élève 40, Élève 41, Élève 42, Élève 43, Élève 44, Élève 45, Élève 46, Élève 47, Élève 48, Élève 49, Élève 50, Élève 2, Élève 11, Élève 17, Élève 18, Élève 19, Élève 8, Élève 22, Élève 23, Élève 24, Élève 4, Élève 27, Élève 14, Élève 29, Élève 5, Élève 12, Élève 35, Élève 6</t>
  </si>
  <si>
    <t>Élève 38 propose au Projet C (son choix n°1).</t>
  </si>
  <si>
    <t>Le projet est plein. Élève 38 n'est pas meilleur. REJET.</t>
  </si>
  <si>
    <t>Élève 39, Élève 40, Élève 41, Élève 42, Élève 43, Élève 44, Élève 45, Élève 46, Élève 47, Élève 48, Élève 49, Élève 50, Élève 2, Élève 11, Élève 17, Élève 18, Élève 19, Élève 8, Élève 22, Élève 23, Élève 24, Élève 4, Élève 27, Élève 14, Élève 29, Élève 5, Élève 12, Élève 35, Élève 6, Élève 38</t>
  </si>
  <si>
    <t>Élève 39 propose au Projet A (son choix n°1).</t>
  </si>
  <si>
    <t>Le projet est plein. Élève 39 est meilleur que Élève 28. ACCEPTATION et ÉVICTION.</t>
  </si>
  <si>
    <t>Projet A: Élève 9, Élève 31, Élève 39</t>
  </si>
  <si>
    <t>Élève 40, Élève 41, Élève 42, Élève 43, Élève 44, Élève 45, Élève 46, Élève 47, Élève 48, Élève 49, Élève 50, Élève 2, Élève 11, Élève 17, Élève 18, Élève 19, Élève 8, Élève 22, Élève 23, Élève 24, Élève 4, Élève 27, Élève 14, Élève 29, Élève 5, Élève 12, Élève 35, Élève 6, Élève 38, Élève 28</t>
  </si>
  <si>
    <t>Élève 40 propose au Projet B (son choix n°1).</t>
  </si>
  <si>
    <t>Le projet est plein. Élève 40 est meilleur que Élève 3. ACCEPTATION et ÉVICTION.</t>
  </si>
  <si>
    <t>Projet B: Élève 7, Élève 16, Élève 25, Élève 32, Élève 34, Élève 40</t>
  </si>
  <si>
    <t>Élève 41, Élève 42, Élève 43, Élève 44, Élève 45, Élève 46, Élève 47, Élève 48, Élève 49, Élève 50, Élève 2, Élève 11, Élève 17, Élève 18, Élève 19, Élève 8, Élève 22, Élève 23, Élève 24, Élève 4, Élève 27, Élève 14, Élève 29, Élève 5, Élève 12, Élève 35, Élève 6, Élève 38, Élève 28, Élève 3</t>
  </si>
  <si>
    <t>Élève 41 propose au Projet D (son choix n°1).</t>
  </si>
  <si>
    <t>Le projet est plein. Élève 41 est meilleur que Élève 26. ACCEPTATION et ÉVICTION.</t>
  </si>
  <si>
    <t>Projet D: Élève 1, Élève 10, Élève 13, Élève 20, Élève 37, Élève 41</t>
  </si>
  <si>
    <t>Élève 42, Élève 43, Élève 44, Élève 45, Élève 46, Élève 47, Élève 48, Élève 49, Élève 50, Élève 2, Élève 11, Élève 17, Élève 18, Élève 19, Élève 8, Élève 22, Élève 23, Élève 24, Élève 4, Élève 27, Élève 14, Élève 29, Élève 5, Élève 12, Élève 35, Élève 6, Élève 38, Élève 28, Élève 3, Élève 26</t>
  </si>
  <si>
    <t>Élève 42 propose au Projet C (son choix n°1).</t>
  </si>
  <si>
    <t>Le projet est plein. Élève 42 n'est pas meilleur. REJET.</t>
  </si>
  <si>
    <t>Élève 43, Élève 44, Élève 45, Élève 46, Élève 47, Élève 48, Élève 49, Élève 50, Élève 2, Élève 11, Élève 17, Élève 18, Élève 19, Élève 8, Élève 22, Élève 23, Élève 24, Élève 4, Élève 27, Élève 14, Élève 29, Élève 5, Élève 12, Élève 35, Élève 6, Élève 38, Élève 28, Élève 3, Élève 26, Élève 42</t>
  </si>
  <si>
    <t>Élève 43 propose au Projet A (son choix n°1).</t>
  </si>
  <si>
    <t>Le projet est plein. Élève 43 n'est pas meilleur. REJET.</t>
  </si>
  <si>
    <t>Élève 44, Élève 45, Élève 46, Élève 47, Élève 48, Élève 49, Élève 50, Élève 2, Élève 11, Élève 17, Élève 18, Élève 19, Élève 8, Élève 22, Élève 23, Élève 24, Élève 4, Élève 27, Élève 14, Élève 29, Élève 5, Élève 12, Élève 35, Élève 6, Élève 38, Élève 28, Élève 3, Élève 26, Élève 42, Élève 43</t>
  </si>
  <si>
    <t>Élève 44 propose au Projet D (son choix n°1).</t>
  </si>
  <si>
    <t>Le projet est plein. Élève 44 est meilleur que Élève 20. ACCEPTATION et ÉVICTION.</t>
  </si>
  <si>
    <t>Projet D: Élève 1, Élève 10, Élève 13, Élève 37, Élève 41, Élève 44</t>
  </si>
  <si>
    <t>Élève 45, Élève 46, Élève 47, Élève 48, Élève 49, Élève 50, Élève 2, Élève 11, Élève 17, Élève 18, Élève 19, Élève 8, Élève 22, Élève 23, Élève 24, Élève 4, Élève 27, Élève 14, Élève 29, Élève 5, Élève 12, Élève 35, Élève 6, Élève 38, Élève 28, Élève 3, Élève 26, Élève 42, Élève 43, Élève 20</t>
  </si>
  <si>
    <t>Élève 45 propose au Projet A (son choix n°1).</t>
  </si>
  <si>
    <t>Le projet est plein. Élève 45 n'est pas meilleur. REJET.</t>
  </si>
  <si>
    <t>Élève 46, Élève 47, Élève 48, Élève 49, Élève 50, Élève 2, Élève 11, Élève 17, Élève 18, Élève 19, Élève 8, Élève 22, Élève 23, Élève 24, Élève 4, Élève 27, Élève 14, Élève 29, Élève 5, Élève 12, Élève 35, Élève 6, Élève 38, Élève 28, Élève 3, Élève 26, Élève 42, Élève 43, Élève 20, Élève 45</t>
  </si>
  <si>
    <t>Élève 46 propose au Projet C (son choix n°1).</t>
  </si>
  <si>
    <t>Le projet est plein. Élève 46 n'est pas meilleur. REJET.</t>
  </si>
  <si>
    <t>Élève 47, Élève 48, Élève 49, Élève 50, Élève 2, Élève 11, Élève 17, Élève 18, Élève 19, Élève 8, Élève 22, Élève 23, Élève 24, Élève 4, Élève 27, Élève 14, Élève 29, Élève 5, Élève 12, Élève 35, Élève 6, Élève 38, Élève 28, Élève 3, Élève 26, Élève 42, Élève 43, Élève 20, Élève 45, Élève 46</t>
  </si>
  <si>
    <t>Élève 47 propose au Projet D (son choix n°1).</t>
  </si>
  <si>
    <t>Le projet est plein. Élève 47 n'est pas meilleur. REJET.</t>
  </si>
  <si>
    <t>Élève 48, Élève 49, Élève 50, Élève 2, Élève 11, Élève 17, Élève 18, Élève 19, Élève 8, Élève 22, Élève 23, Élève 24, Élève 4, Élève 27, Élève 14, Élève 29, Élève 5, Élève 12, Élève 35, Élève 6, Élève 38, Élève 28, Élève 3, Élève 26, Élève 42, Élève 43, Élève 20, Élève 45, Élève 46, Élève 47</t>
  </si>
  <si>
    <t>Élève 48 propose au Projet C (son choix n°1).</t>
  </si>
  <si>
    <t>Le projet est plein. Élève 48 n'est pas meilleur. REJET.</t>
  </si>
  <si>
    <t>Élève 49, Élève 50, Élève 2, Élève 11, Élève 17, Élève 18, Élève 19, Élève 8, Élève 22, Élève 23, Élève 24, Élève 4, Élève 27, Élève 14, Élève 29, Élève 5, Élève 12, Élève 35, Élève 6, Élève 38, Élève 28, Élève 3, Élève 26, Élève 42, Élève 43, Élève 20, Élève 45, Élève 46, Élève 47, Élève 48</t>
  </si>
  <si>
    <t>Élève 49 propose au Projet A (son choix n°1).</t>
  </si>
  <si>
    <t>Le projet est plein. Élève 49 n'est pas meilleur. REJET.</t>
  </si>
  <si>
    <t>Élève 50, Élève 2, Élève 11, Élève 17, Élève 18, Élève 19, Élève 8, Élève 22, Élève 23, Élève 24, Élève 4, Élève 27, Élève 14, Élève 29, Élève 5, Élève 12, Élève 35, Élève 6, Élève 38, Élève 28, Élève 3, Élève 26, Élève 42, Élève 43, Élève 20, Élève 45, Élève 46, Élève 47, Élève 48, Élève 49</t>
  </si>
  <si>
    <t>Élève 50 propose au Projet E (son choix n°1).</t>
  </si>
  <si>
    <t>Le projet est plein. Élève 50 n'est pas meilleur. REJET.</t>
  </si>
  <si>
    <t>Élève 2, Élève 11, Élève 17, Élève 18, Élève 19, Élève 8, Élève 22, Élève 23, Élève 24, Élève 4, Élève 27, Élève 14, Élève 29, Élève 5, Élève 12, Élève 35, Élève 6, Élève 38, Élève 28, Élève 3, Élève 26, Élève 42, Élève 43, Élève 20, Élève 45, Élève 46, Élève 47, Élève 48, Élève 49, Élève 50</t>
  </si>
  <si>
    <t>Élève 2 propose au Projet B (son choix n°2).</t>
  </si>
  <si>
    <t>Le projet est plein. Élève 2 est meilleur que Élève 25. ACCEPTATION et ÉVICTION.</t>
  </si>
  <si>
    <t>Projet B: Élève 7, Élève 16, Élève 32, Élève 34, Élève 40, Élève 2</t>
  </si>
  <si>
    <t>Élève 11, Élève 17, Élève 18, Élève 19, Élève 8, Élève 22, Élève 23, Élève 24, Élève 4, Élève 27, Élève 14, Élève 29, Élève 5, Élève 12, Élève 35, Élève 6, Élève 38, Élève 28, Élève 3, Élève 26, Élève 42, Élève 43, Élève 20, Élève 45, Élève 46, Élève 47, Élève 48, Élève 49, Élève 50, Élève 25</t>
  </si>
  <si>
    <t>Élève 11 propose au Projet B (son choix n°2).</t>
  </si>
  <si>
    <t>Le projet est plein. Élève 11 est meilleur que Élève 32. ACCEPTATION et ÉVICTION.</t>
  </si>
  <si>
    <t>Projet B: Élève 7, Élève 16, Élève 34, Élève 40, Élève 2, Élève 11</t>
  </si>
  <si>
    <t>Élève 17, Élève 18, Élève 19, Élève 8, Élève 22, Élève 23, Élève 24, Élève 4, Élève 27, Élève 14, Élève 29, Élève 5, Élève 12, Élève 35, Élève 6, Élève 38, Élève 28, Élève 3, Élève 26, Élève 42, Élève 43, Élève 20, Élève 45, Élève 46, Élève 47, Élève 48, Élève 49, Élève 50, Élève 25, Élève 32</t>
  </si>
  <si>
    <t>Élève 17 a épuisé sa liste de vœux.</t>
  </si>
  <si>
    <t>Reste non affecté.</t>
  </si>
  <si>
    <t>Élève 18, Élève 19, Élève 8, Élève 22, Élève 23, Élève 24, Élève 4, Élève 27, Élève 14, Élève 29, Élève 5, Élève 12, Élève 35, Élève 6, Élève 38, Élève 28, Élève 3, Élève 26, Élève 42, Élève 43, Élève 20, Élève 45, Élève 46, Élève 47, Élève 48, Élève 49, Élève 50, Élève 25, Élève 32</t>
  </si>
  <si>
    <t>Élève 18 propose au Projet A (son choix n°2).</t>
  </si>
  <si>
    <t>Élève 19, Élève 8, Élève 22, Élève 23, Élève 24, Élève 4, Élève 27, Élève 14, Élève 29, Élève 5, Élève 12, Élève 35, Élève 6, Élève 38, Élève 28, Élève 3, Élève 26, Élève 42, Élève 43, Élève 20, Élève 45, Élève 46, Élève 47, Élève 48, Élève 49, Élève 50, Élève 25, Élève 32, Élève 18</t>
  </si>
  <si>
    <t>Élève 19 propose au Projet E (son choix n°2).</t>
  </si>
  <si>
    <t>Le projet est plein. Élève 19 est meilleur que Élève 30. ACCEPTATION et ÉVICTION.</t>
  </si>
  <si>
    <t>Projet E: Élève 33, Élève 36, Élève 19</t>
  </si>
  <si>
    <t>Élève 8, Élève 22, Élève 23, Élève 24, Élève 4, Élève 27, Élève 14, Élève 29, Élève 5, Élève 12, Élève 35, Élève 6, Élève 38, Élève 28, Élève 3, Élève 26, Élève 42, Élève 43, Élève 20, Élève 45, Élève 46, Élève 47, Élève 48, Élève 49, Élève 50, Élève 25, Élève 32, Élève 18, Élève 30</t>
  </si>
  <si>
    <t>Élève 8 propose au Projet E (son choix n°2).</t>
  </si>
  <si>
    <t>Le projet est plein. Élève 8 est meilleur que Élève 36. ACCEPTATION et ÉVICTION.</t>
  </si>
  <si>
    <t>Projet E: Élève 33, Élève 19, Élève 8</t>
  </si>
  <si>
    <t>Élève 22, Élève 23, Élève 24, Élève 4, Élève 27, Élève 14, Élève 29, Élève 5, Élève 12, Élève 35, Élève 6, Élève 38, Élève 28, Élève 3, Élève 26, Élève 42, Élève 43, Élève 20, Élève 45, Élève 46, Élève 47, Élève 48, Élève 49, Élève 50, Élève 25, Élève 32, Élève 18, Élève 30, Élève 36</t>
  </si>
  <si>
    <t>Élève 22 propose au Projet B (son choix n°2).</t>
  </si>
  <si>
    <t>Le projet est plein. Élève 22 est meilleur que Élève 34. ACCEPTATION et ÉVICTION.</t>
  </si>
  <si>
    <t>Projet B: Élève 7, Élève 16, Élève 40, Élève 2, Élève 11, Élève 22</t>
  </si>
  <si>
    <t>Élève 23, Élève 24, Élève 4, Élève 27, Élève 14, Élève 29, Élève 5, Élève 12, Élève 35, Élève 6, Élève 38, Élève 28, Élève 3, Élève 26, Élève 42, Élève 43, Élève 20, Élève 45, Élève 46, Élève 47, Élève 48, Élève 49, Élève 50, Élève 25, Élève 32, Élève 18, Élève 30, Élève 36, Élève 34</t>
  </si>
  <si>
    <t>Élève 23 propose au Projet E (son choix n°2).</t>
  </si>
  <si>
    <t>Élève 24, Élève 4, Élève 27, Élève 14, Élève 29, Élève 5, Élève 12, Élève 35, Élève 6, Élève 38, Élève 28, Élève 3, Élève 26, Élève 42, Élève 43, Élève 20, Élève 45, Élève 46, Élève 47, Élève 48, Élève 49, Élève 50, Élève 25, Élève 32, Élève 18, Élève 30, Élève 36, Élève 34, Élève 23</t>
  </si>
  <si>
    <t>Élève 24 propose au Projet D (son choix n°2).</t>
  </si>
  <si>
    <t>Le projet est plein. Élève 24 est meilleur que Élève 37. ACCEPTATION et ÉVICTION.</t>
  </si>
  <si>
    <t>Projet D: Élève 1, Élève 10, Élève 13, Élève 41, Élève 44, Élève 24</t>
  </si>
  <si>
    <t>Élève 4, Élève 27, Élève 14, Élève 29, Élève 5, Élève 12, Élève 35, Élève 6, Élève 38, Élève 28, Élève 3, Élève 26, Élève 42, Élève 43, Élève 20, Élève 45, Élève 46, Élève 47, Élève 48, Élève 49, Élève 50, Élève 25, Élève 32, Élève 18, Élève 30, Élève 36, Élève 34, Élève 23, Élève 37</t>
  </si>
  <si>
    <t>Élève 4 propose au Projet C (son choix n°2).</t>
  </si>
  <si>
    <t>Le projet est plein. Élève 4 n'est pas meilleur. REJET.</t>
  </si>
  <si>
    <t>Élève 27, Élève 14, Élève 29, Élève 5, Élève 12, Élève 35, Élève 6, Élève 38, Élève 28, Élève 3, Élève 26, Élève 42, Élève 43, Élève 20, Élève 45, Élève 46, Élève 47, Élève 48, Élève 49, Élève 50, Élève 25, Élève 32, Élève 18, Élève 30, Élève 36, Élève 34, Élève 23, Élève 37, Élève 4</t>
  </si>
  <si>
    <t>Élève 27 propose au Projet D (son choix n°2).</t>
  </si>
  <si>
    <t>Le projet est plein. Élève 27 est meilleur que Élève 13. ACCEPTATION et ÉVICTION.</t>
  </si>
  <si>
    <t>Projet D: Élève 1, Élève 10, Élève 41, Élève 44, Élève 24, Élève 27</t>
  </si>
  <si>
    <t>Élève 14, Élève 29, Élève 5, Élève 12, Élève 35, Élève 6, Élève 38, Élève 28, Élève 3, Élève 26, Élève 42, Élève 43, Élève 20, Élève 45, Élève 46, Élève 47, Élève 48, Élève 49, Élève 50, Élève 25, Élève 32, Élève 18, Élève 30, Élève 36, Élève 34, Élève 23, Élève 37, Élève 4, Élève 13</t>
  </si>
  <si>
    <t>Élève 14 propose au Projet C (son choix n°2).</t>
  </si>
  <si>
    <t>Le projet est plein. Élève 14 n'est pas meilleur. REJET.</t>
  </si>
  <si>
    <t>Élève 29, Élève 5, Élève 12, Élève 35, Élève 6, Élève 38, Élève 28, Élève 3, Élève 26, Élève 42, Élève 43, Élève 20, Élève 45, Élève 46, Élève 47, Élève 48, Élève 49, Élève 50, Élève 25, Élève 32, Élève 18, Élève 30, Élève 36, Élève 34, Élève 23, Élève 37, Élève 4, Élève 13, Élève 14</t>
  </si>
  <si>
    <t>Élève 29 propose au Projet D (son choix n°2).</t>
  </si>
  <si>
    <t>Élève 5, Élève 12, Élève 35, Élève 6, Élève 38, Élève 28, Élève 3, Élève 26, Élève 42, Élève 43, Élève 20, Élève 45, Élève 46, Élève 47, Élève 48, Élève 49, Élève 50, Élève 25, Élève 32, Élève 18, Élève 30, Élève 36, Élève 34, Élève 23, Élève 37, Élève 4, Élève 13, Élève 14, Élève 29</t>
  </si>
  <si>
    <t>Élève 5 propose au Projet E (son choix n°2).</t>
  </si>
  <si>
    <t>Le projet est plein. Élève 5 n'est pas meilleur. REJET.</t>
  </si>
  <si>
    <t>Élève 12, Élève 35, Élève 6, Élève 38, Élève 28, Élève 3, Élève 26, Élève 42, Élève 43, Élève 20, Élève 45, Élève 46, Élève 47, Élève 48, Élève 49, Élève 50, Élève 25, Élève 32, Élève 18, Élève 30, Élève 36, Élève 34, Élève 23, Élève 37, Élève 4, Élève 13, Élève 14, Élève 29, Élève 5</t>
  </si>
  <si>
    <t>Élève 12 propose au Projet E (son choix n°2).</t>
  </si>
  <si>
    <t>Le projet est plein. Élève 12 n'est pas meilleur. REJET.</t>
  </si>
  <si>
    <t>Élève 35, Élève 6, Élève 38, Élève 28, Élève 3, Élève 26, Élève 42, Élève 43, Élève 20, Élève 45, Élève 46, Élève 47, Élève 48, Élève 49, Élève 50, Élève 25, Élève 32, Élève 18, Élève 30, Élève 36, Élève 34, Élève 23, Élève 37, Élève 4, Élève 13, Élève 14, Élève 29, Élève 5, Élève 12</t>
  </si>
  <si>
    <t>Élève 35 propose au Projet E (son choix n°2).</t>
  </si>
  <si>
    <t>Élève 6, Élève 38, Élève 28, Élève 3, Élève 26, Élève 42, Élève 43, Élève 20, Élève 45, Élève 46, Élève 47, Élève 48, Élève 49, Élève 50, Élève 25, Élève 32, Élève 18, Élève 30, Élève 36, Élève 34, Élève 23, Élève 37, Élève 4, Élève 13, Élève 14, Élève 29, Élève 5, Élève 12, Élève 35</t>
  </si>
  <si>
    <t>Élève 6 propose au Projet A (son choix n°2).</t>
  </si>
  <si>
    <t>Élève 38, Élève 28, Élève 3, Élève 26, Élève 42, Élève 43, Élève 20, Élève 45, Élève 46, Élève 47, Élève 48, Élève 49, Élève 50, Élève 25, Élève 32, Élève 18, Élève 30, Élève 36, Élève 34, Élève 23, Élève 37, Élève 4, Élève 13, Élève 14, Élève 29, Élève 5, Élève 12, Élève 35, Élève 6</t>
  </si>
  <si>
    <t>Élève 38 propose au Projet B (son choix n°2).</t>
  </si>
  <si>
    <t>Élève 28, Élève 3, Élève 26, Élève 42, Élève 43, Élève 20, Élève 45, Élève 46, Élève 47, Élève 48, Élève 49, Élève 50, Élève 25, Élève 32, Élève 18, Élève 30, Élève 36, Élève 34, Élève 23, Élève 37, Élève 4, Élève 13, Élève 14, Élève 29, Élève 5, Élève 12, Élève 35, Élève 6, Élève 38</t>
  </si>
  <si>
    <t>Élève 28 propose au Projet E (son choix n°2).</t>
  </si>
  <si>
    <t>Le projet est plein. Élève 28 n'est pas meilleur. REJET.</t>
  </si>
  <si>
    <t>Élève 3, Élève 26, Élève 42, Élève 43, Élève 20, Élève 45, Élève 46, Élève 47, Élève 48, Élève 49, Élève 50, Élève 25, Élève 32, Élève 18, Élève 30, Élève 36, Élève 34, Élève 23, Élève 37, Élève 4, Élève 13, Élève 14, Élève 29, Élève 5, Élève 12, Élève 35, Élève 6, Élève 38, Élève 28</t>
  </si>
  <si>
    <t>Élève 3 propose au Projet A (son choix n°2).</t>
  </si>
  <si>
    <t>Le projet est plein. Élève 3 est meilleur que Élève 31. ACCEPTATION et ÉVICTION.</t>
  </si>
  <si>
    <t>Projet A: Élève 9, Élève 39, Élève 3</t>
  </si>
  <si>
    <t>Élève 26, Élève 42, Élève 43, Élève 20, Élève 45, Élève 46, Élève 47, Élève 48, Élève 49, Élève 50, Élève 25, Élève 32, Élève 18, Élève 30, Élève 36, Élève 34, Élève 23, Élève 37, Élève 4, Élève 13, Élève 14, Élève 29, Élève 5, Élève 12, Élève 35, Élève 6, Élève 38, Élève 28, Élève 31</t>
  </si>
  <si>
    <t>Élève 26 propose au Projet B (son choix n°2).</t>
  </si>
  <si>
    <t>Le projet est plein. Élève 26 n'est pas meilleur. REJET.</t>
  </si>
  <si>
    <t>Élève 42, Élève 43, Élève 20, Élève 45, Élève 46, Élève 47, Élève 48, Élève 49, Élève 50, Élève 25, Élève 32, Élève 18, Élève 30, Élève 36, Élève 34, Élève 23, Élève 37, Élève 4, Élève 13, Élève 14, Élève 29, Élève 5, Élève 12, Élève 35, Élève 6, Élève 38, Élève 28, Élève 31, Élève 26</t>
  </si>
  <si>
    <t>Élève 42 propose au Projet A (son choix n°2).</t>
  </si>
  <si>
    <t>Élève 43, Élève 20, Élève 45, Élève 46, Élève 47, Élève 48, Élève 49, Élève 50, Élève 25, Élève 32, Élève 18, Élève 30, Élève 36, Élève 34, Élève 23, Élève 37, Élève 4, Élève 13, Élève 14, Élève 29, Élève 5, Élève 12, Élève 35, Élève 6, Élève 38, Élève 28, Élève 31, Élève 26, Élève 42</t>
  </si>
  <si>
    <t>Élève 43 propose au Projet B (son choix n°2).</t>
  </si>
  <si>
    <t>Élève 20, Élève 45, Élève 46, Élève 47, Élève 48, Élève 49, Élève 50, Élève 25, Élève 32, Élève 18, Élève 30, Élève 36, Élève 34, Élève 23, Élève 37, Élève 4, Élève 13, Élève 14, Élève 29, Élève 5, Élève 12, Élève 35, Élève 6, Élève 38, Élève 28, Élève 31, Élève 26, Élève 42, Élève 43</t>
  </si>
  <si>
    <t>Élève 20 propose au Projet A (son choix n°2).</t>
  </si>
  <si>
    <t>Le projet est plein. Élève 20 n'est pas meilleur. REJET.</t>
  </si>
  <si>
    <t>Élève 45, Élève 46, Élève 47, Élève 48, Élève 49, Élève 50, Élève 25, Élève 32, Élève 18, Élève 30, Élève 36, Élève 34, Élève 23, Élève 37, Élève 4, Élève 13, Élève 14, Élève 29, Élève 5, Élève 12, Élève 35, Élève 6, Élève 38, Élève 28, Élève 31, Élève 26, Élève 42, Élève 43, Élève 20</t>
  </si>
  <si>
    <t>Élève 45 propose au Projet E (son choix n°2).</t>
  </si>
  <si>
    <t>Élève 46, Élève 47, Élève 48, Élève 49, Élève 50, Élève 25, Élève 32, Élève 18, Élève 30, Élève 36, Élève 34, Élève 23, Élève 37, Élève 4, Élève 13, Élève 14, Élève 29, Élève 5, Élève 12, Élève 35, Élève 6, Élève 38, Élève 28, Élève 31, Élève 26, Élève 42, Élève 43, Élève 20, Élève 45</t>
  </si>
  <si>
    <t>Élève 46 propose au Projet D (son choix n°2).</t>
  </si>
  <si>
    <t>Élève 47, Élève 48, Élève 49, Élève 50, Élève 25, Élève 32, Élève 18, Élève 30, Élève 36, Élève 34, Élève 23, Élève 37, Élève 4, Élève 13, Élève 14, Élève 29, Élève 5, Élève 12, Élève 35, Élève 6, Élève 38, Élève 28, Élève 31, Élève 26, Élève 42, Élève 43, Élève 20, Élève 45, Élève 46</t>
  </si>
  <si>
    <t>Élève 47 propose au Projet A (son choix n°2).</t>
  </si>
  <si>
    <t>Élève 48, Élève 49, Élève 50, Élève 25, Élève 32, Élève 18, Élève 30, Élève 36, Élève 34, Élève 23, Élève 37, Élève 4, Élève 13, Élève 14, Élève 29, Élève 5, Élève 12, Élève 35, Élève 6, Élève 38, Élève 28, Élève 31, Élève 26, Élève 42, Élève 43, Élève 20, Élève 45, Élève 46, Élève 47</t>
  </si>
  <si>
    <t>Élève 48 propose au Projet D (son choix n°2).</t>
  </si>
  <si>
    <t>Élève 49, Élève 50, Élève 25, Élève 32, Élève 18, Élève 30, Élève 36, Élève 34, Élève 23, Élève 37, Élève 4, Élève 13, Élève 14, Élève 29, Élève 5, Élève 12, Élève 35, Élève 6, Élève 38, Élève 28, Élève 31, Élève 26, Élève 42, Élève 43, Élève 20, Élève 45, Élève 46, Élève 47, Élève 48</t>
  </si>
  <si>
    <t>Élève 49 a épuisé sa liste de vœux.</t>
  </si>
  <si>
    <t>Élève 50, Élève 25, Élève 32, Élève 18, Élève 30, Élève 36, Élève 34, Élève 23, Élève 37, Élève 4, Élève 13, Élève 14, Élève 29, Élève 5, Élève 12, Élève 35, Élève 6, Élève 38, Élève 28, Élève 31, Élève 26, Élève 42, Élève 43, Élève 20, Élève 45, Élève 46, Élève 47, Élève 48</t>
  </si>
  <si>
    <t>Élève 50 propose au Projet A (son choix n°2).</t>
  </si>
  <si>
    <t>Le projet est plein. Élève 50 est meilleur que Élève 9. ACCEPTATION et ÉVICTION.</t>
  </si>
  <si>
    <t>Projet A: Élève 39, Élève 3, Élève 50</t>
  </si>
  <si>
    <t>Élève 25, Élève 32, Élève 18, Élève 30, Élève 36, Élève 34, Élève 23, Élève 37, Élève 4, Élève 13, Élève 14, Élève 29, Élève 5, Élève 12, Élève 35, Élève 6, Élève 38, Élève 28, Élève 31, Élève 26, Élève 42, Élève 43, Élève 20, Élève 45, Élève 46, Élève 47, Élève 48, Élève 9</t>
  </si>
  <si>
    <t>Élève 25 a épuisé sa liste de vœux.</t>
  </si>
  <si>
    <t>Élève 32, Élève 18, Élève 30, Élève 36, Élève 34, Élève 23, Élève 37, Élève 4, Élève 13, Élève 14, Élève 29, Élève 5, Élève 12, Élève 35, Élève 6, Élève 38, Élève 28, Élève 31, Élève 26, Élève 42, Élève 43, Élève 20, Élève 45, Élève 46, Élève 47, Élève 48, Élève 9</t>
  </si>
  <si>
    <t>Élève 32 propose au Projet D (son choix n°2).</t>
  </si>
  <si>
    <t>Le projet est plein. Élève 32 est meilleur que Élève 1. ACCEPTATION et ÉVICTION.</t>
  </si>
  <si>
    <t>Projet D: Élève 10, Élève 41, Élève 44, Élève 24, Élève 27, Élève 32</t>
  </si>
  <si>
    <t>Élève 18, Élève 30, Élève 36, Élève 34, Élève 23, Élève 37, Élève 4, Élève 13, Élève 14, Élève 29, Élève 5, Élève 12, Élève 35, Élève 6, Élève 38, Élève 28, Élève 31, Élève 26, Élève 42, Élève 43, Élève 20, Élève 45, Élève 46, Élève 47, Élève 48, Élève 9, Élève 1</t>
  </si>
  <si>
    <t>Élève 18 propose au Projet D (son choix n°3).</t>
  </si>
  <si>
    <t>Élève 30, Élève 36, Élève 34, Élève 23, Élève 37, Élève 4, Élève 13, Élève 14, Élève 29, Élève 5, Élève 12, Élève 35, Élève 6, Élève 38, Élève 28, Élève 31, Élève 26, Élève 42, Élève 43, Élève 20, Élève 45, Élève 46, Élève 47, Élève 48, Élève 9, Élève 1, Élève 18</t>
  </si>
  <si>
    <t>Élève 30 propose au Projet A (son choix n°2).</t>
  </si>
  <si>
    <t>Le projet est plein. Élève 30 n'est pas meilleur. REJET.</t>
  </si>
  <si>
    <t>Élève 36, Élève 34, Élève 23, Élève 37, Élève 4, Élève 13, Élève 14, Élève 29, Élève 5, Élève 12, Élève 35, Élève 6, Élève 38, Élève 28, Élève 31, Élève 26, Élève 42, Élève 43, Élève 20, Élève 45, Élève 46, Élève 47, Élève 48, Élève 9, Élève 1, Élève 18, Élève 30</t>
  </si>
  <si>
    <t>Élève 36 propose au Projet C (son choix n°2).</t>
  </si>
  <si>
    <t>Le projet est plein. Élève 36 n'est pas meilleur. REJET.</t>
  </si>
  <si>
    <t>Élève 34, Élève 23, Élève 37, Élève 4, Élève 13, Élève 14, Élève 29, Élève 5, Élève 12, Élève 35, Élève 6, Élève 38, Élève 28, Élève 31, Élève 26, Élève 42, Élève 43, Élève 20, Élève 45, Élève 46, Élève 47, Élève 48, Élève 9, Élève 1, Élève 18, Élève 30, Élève 36</t>
  </si>
  <si>
    <t>Élève 34 propose au Projet D (son choix n°2).</t>
  </si>
  <si>
    <t>Le projet est plein. Élève 34 n'est pas meilleur. REJET.</t>
  </si>
  <si>
    <t>Élève 23, Élève 37, Élève 4, Élève 13, Élève 14, Élève 29, Élève 5, Élève 12, Élève 35, Élève 6, Élève 38, Élève 28, Élève 31, Élève 26, Élève 42, Élève 43, Élève 20, Élève 45, Élève 46, Élève 47, Élève 48, Élève 9, Élève 1, Élève 18, Élève 30, Élève 36, Élève 34</t>
  </si>
  <si>
    <t>Élève 23 propose au Projet C (son choix n°3).</t>
  </si>
  <si>
    <t>Élève 37, Élève 4, Élève 13, Élève 14, Élève 29, Élève 5, Élève 12, Élève 35, Élève 6, Élève 38, Élève 28, Élève 31, Élève 26, Élève 42, Élève 43, Élève 20, Élève 45, Élève 46, Élève 47, Élève 48, Élève 9, Élève 1, Élève 18, Élève 30, Élève 36, Élève 34, Élève 23</t>
  </si>
  <si>
    <t>Élève 37 propose au Projet E (son choix n°2).</t>
  </si>
  <si>
    <t>Le projet est plein. Élève 37 n'est pas meilleur. REJET.</t>
  </si>
  <si>
    <t>Élève 4, Élève 13, Élève 14, Élève 29, Élève 5, Élève 12, Élève 35, Élève 6, Élève 38, Élève 28, Élève 31, Élève 26, Élève 42, Élève 43, Élève 20, Élève 45, Élève 46, Élève 47, Élève 48, Élève 9, Élève 1, Élève 18, Élève 30, Élève 36, Élève 34, Élève 23, Élève 37</t>
  </si>
  <si>
    <t>Élève 4 propose au Projet A (son choix n°3).</t>
  </si>
  <si>
    <t>Élève 13, Élève 14, Élève 29, Élève 5, Élève 12, Élève 35, Élève 6, Élève 38, Élève 28, Élève 31, Élève 26, Élève 42, Élève 43, Élève 20, Élève 45, Élève 46, Élève 47, Élève 48, Élève 9, Élève 1, Élève 18, Élève 30, Élève 36, Élève 34, Élève 23, Élève 37, Élève 4</t>
  </si>
  <si>
    <t>Élève 13 propose au Projet A (son choix n°2).</t>
  </si>
  <si>
    <t>Le projet est plein. Élève 13 n'est pas meilleur. REJET.</t>
  </si>
  <si>
    <t>Élève 14, Élève 29, Élève 5, Élève 12, Élève 35, Élève 6, Élève 38, Élève 28, Élève 31, Élève 26, Élève 42, Élève 43, Élève 20, Élève 45, Élève 46, Élève 47, Élève 48, Élève 9, Élève 1, Élève 18, Élève 30, Élève 36, Élève 34, Élève 23, Élève 37, Élève 4, Élève 13</t>
  </si>
  <si>
    <t>Élève 14 propose au Projet B (son choix n°3).</t>
  </si>
  <si>
    <t>Élève 29, Élève 5, Élève 12, Élève 35, Élève 6, Élève 38, Élève 28, Élève 31, Élève 26, Élève 42, Élève 43, Élève 20, Élève 45, Élève 46, Élève 47, Élève 48, Élève 9, Élève 1, Élève 18, Élève 30, Élève 36, Élève 34, Élève 23, Élève 37, Élève 4, Élève 13, Élève 14</t>
  </si>
  <si>
    <t>Élève 29 propose au Projet A (son choix n°3).</t>
  </si>
  <si>
    <t>Élève 5, Élève 12, Élève 35, Élève 6, Élève 38, Élève 28, Élève 31, Élève 26, Élève 42, Élève 43, Élève 20, Élève 45, Élève 46, Élève 47, Élève 48, Élève 9, Élève 1, Élève 18, Élève 30, Élève 36, Élève 34, Élève 23, Élève 37, Élève 4, Élève 13, Élève 14, Élève 29</t>
  </si>
  <si>
    <t>Élève 5 propose au Projet C (son choix n°3).</t>
  </si>
  <si>
    <t>Élève 12, Élève 35, Élève 6, Élève 38, Élève 28, Élève 31, Élève 26, Élève 42, Élève 43, Élève 20, Élève 45, Élève 46, Élève 47, Élève 48, Élève 9, Élève 1, Élève 18, Élève 30, Élève 36, Élève 34, Élève 23, Élève 37, Élève 4, Élève 13, Élève 14, Élève 29, Élève 5</t>
  </si>
  <si>
    <t>Élève 12 propose au Projet A (son choix n°3).</t>
  </si>
  <si>
    <t>Élève 35, Élève 6, Élève 38, Élève 28, Élève 31, Élève 26, Élève 42, Élève 43, Élève 20, Élève 45, Élève 46, Élève 47, Élève 48, Élève 9, Élève 1, Élève 18, Élève 30, Élève 36, Élève 34, Élève 23, Élève 37, Élève 4, Élève 13, Élève 14, Élève 29, Élève 5, Élève 12</t>
  </si>
  <si>
    <t>Élève 35 propose au Projet B (son choix n°3).</t>
  </si>
  <si>
    <t>Élève 6, Élève 38, Élève 28, Élève 31, Élève 26, Élève 42, Élève 43, Élève 20, Élève 45, Élève 46, Élève 47, Élève 48, Élève 9, Élève 1, Élève 18, Élève 30, Élève 36, Élève 34, Élève 23, Élève 37, Élève 4, Élève 13, Élève 14, Élève 29, Élève 5, Élève 12, Élève 35</t>
  </si>
  <si>
    <t>Élève 6 propose au Projet E (son choix n°3).</t>
  </si>
  <si>
    <t>Élève 38, Élève 28, Élève 31, Élève 26, Élève 42, Élève 43, Élève 20, Élève 45, Élève 46, Élève 47, Élève 48, Élève 9, Élève 1, Élève 18, Élève 30, Élève 36, Élève 34, Élève 23, Élève 37, Élève 4, Élève 13, Élève 14, Élève 29, Élève 5, Élève 12, Élève 35, Élève 6</t>
  </si>
  <si>
    <t>Élève 38 propose au Projet E (son choix n°3).</t>
  </si>
  <si>
    <t>Élève 28, Élève 31, Élève 26, Élève 42, Élève 43, Élève 20, Élève 45, Élève 46, Élève 47, Élève 48, Élève 9, Élève 1, Élève 18, Élève 30, Élève 36, Élève 34, Élève 23, Élève 37, Élève 4, Élève 13, Élève 14, Élève 29, Élève 5, Élève 12, Élève 35, Élève 6, Élève 38</t>
  </si>
  <si>
    <t>Élève 28 propose au Projet D (son choix n°3).</t>
  </si>
  <si>
    <t>Le projet est plein. Élève 28 est meilleur que Élève 10. ACCEPTATION et ÉVICTION.</t>
  </si>
  <si>
    <t>Projet D: Élève 41, Élève 44, Élève 24, Élève 27, Élève 32, Élève 28</t>
  </si>
  <si>
    <t>Élève 31, Élève 26, Élève 42, Élève 43, Élève 20, Élève 45, Élève 46, Élève 47, Élève 48, Élève 9, Élève 1, Élève 18, Élève 30, Élève 36, Élève 34, Élève 23, Élève 37, Élève 4, Élève 13, Élève 14, Élève 29, Élève 5, Élève 12, Élève 35, Élève 6, Élève 38, Élève 10</t>
  </si>
  <si>
    <t>Élève 31 propose au Projet B (son choix n°2).</t>
  </si>
  <si>
    <t>Le projet est plein. Élève 31 n'est pas meilleur. REJET.</t>
  </si>
  <si>
    <t>Élève 26, Élève 42, Élève 43, Élève 20, Élève 45, Élève 46, Élève 47, Élève 48, Élève 9, Élève 1, Élève 18, Élève 30, Élève 36, Élève 34, Élève 23, Élève 37, Élève 4, Élève 13, Élève 14, Élève 29, Élève 5, Élève 12, Élève 35, Élève 6, Élève 38, Élève 10, Élève 31</t>
  </si>
  <si>
    <t>Élève 26 propose au Projet C (son choix n°3).</t>
  </si>
  <si>
    <t>Élève 42, Élève 43, Élève 20, Élève 45, Élève 46, Élève 47, Élève 48, Élève 9, Élève 1, Élève 18, Élève 30, Élève 36, Élève 34, Élève 23, Élève 37, Élève 4, Élève 13, Élève 14, Élève 29, Élève 5, Élève 12, Élève 35, Élève 6, Élève 38, Élève 10, Élève 31, Élève 26</t>
  </si>
  <si>
    <t>Élève 42 propose au Projet E (son choix n°3).</t>
  </si>
  <si>
    <t>Élève 43, Élève 20, Élève 45, Élève 46, Élève 47, Élève 48, Élève 9, Élève 1, Élève 18, Élève 30, Élève 36, Élève 34, Élève 23, Élève 37, Élève 4, Élève 13, Élève 14, Élève 29, Élève 5, Élève 12, Élève 35, Élève 6, Élève 38, Élève 10, Élève 31, Élève 26, Élève 42</t>
  </si>
  <si>
    <t>Élève 43 propose au Projet D (son choix n°3).</t>
  </si>
  <si>
    <t>Élève 20, Élève 45, Élève 46, Élève 47, Élève 48, Élève 9, Élève 1, Élève 18, Élève 30, Élève 36, Élève 34, Élève 23, Élève 37, Élève 4, Élève 13, Élève 14, Élève 29, Élève 5, Élève 12, Élève 35, Élève 6, Élève 38, Élève 10, Élève 31, Élève 26, Élève 42, Élève 43</t>
  </si>
  <si>
    <t>Élève 20 propose au Projet E (son choix n°3).</t>
  </si>
  <si>
    <t>Élève 45, Élève 46, Élève 47, Élève 48, Élève 9, Élève 1, Élève 18, Élève 30, Élève 36, Élève 34, Élève 23, Élève 37, Élève 4, Élève 13, Élève 14, Élève 29, Élève 5, Élève 12, Élève 35, Élève 6, Élève 38, Élève 10, Élève 31, Élève 26, Élève 42, Élève 43, Élève 20</t>
  </si>
  <si>
    <t>Élève 45 propose au Projet B (son choix n°3).</t>
  </si>
  <si>
    <t>Élève 46, Élève 47, Élève 48, Élève 9, Élève 1, Élève 18, Élève 30, Élève 36, Élève 34, Élève 23, Élève 37, Élève 4, Élève 13, Élève 14, Élève 29, Élève 5, Élève 12, Élève 35, Élève 6, Élève 38, Élève 10, Élève 31, Élève 26, Élève 42, Élève 43, Élève 20, Élève 45</t>
  </si>
  <si>
    <t>Élève 46 propose au Projet E (son choix n°3).</t>
  </si>
  <si>
    <t>Élève 47, Élève 48, Élève 9, Élève 1, Élève 18, Élève 30, Élève 36, Élève 34, Élève 23, Élève 37, Élève 4, Élève 13, Élève 14, Élève 29, Élève 5, Élève 12, Élève 35, Élève 6, Élève 38, Élève 10, Élève 31, Élève 26, Élève 42, Élève 43, Élève 20, Élève 45, Élève 46</t>
  </si>
  <si>
    <t>Élève 47 propose au Projet C (son choix n°3).</t>
  </si>
  <si>
    <t>Élève 48, Élève 9, Élève 1, Élève 18, Élève 30, Élève 36, Élève 34, Élève 23, Élève 37, Élève 4, Élève 13, Élève 14, Élève 29, Élève 5, Élève 12, Élève 35, Élève 6, Élève 38, Élève 10, Élève 31, Élève 26, Élève 42, Élève 43, Élève 20, Élève 45, Élève 46, Élève 47</t>
  </si>
  <si>
    <t>Élève 48 propose au Projet B (son choix n°3).</t>
  </si>
  <si>
    <t>Élève 9, Élève 1, Élève 18, Élève 30, Élève 36, Élève 34, Élève 23, Élève 37, Élève 4, Élève 13, Élève 14, Élève 29, Élève 5, Élève 12, Élève 35, Élève 6, Élève 38, Élève 10, Élève 31, Élève 26, Élève 42, Élève 43, Élève 20, Élève 45, Élève 46, Élève 47, Élève 48</t>
  </si>
  <si>
    <t>Élève 9 propose au Projet D (son choix n°2).</t>
  </si>
  <si>
    <t>Le projet est plein. Élève 9 n'est pas meilleur. REJET.</t>
  </si>
  <si>
    <t>Élève 1, Élève 18, Élève 30, Élève 36, Élève 34, Élève 23, Élève 37, Élève 4, Élève 13, Élève 14, Élève 29, Élève 5, Élève 12, Élève 35, Élève 6, Élève 38, Élève 10, Élève 31, Élève 26, Élève 42, Élève 43, Élève 20, Élève 45, Élève 46, Élève 47, Élève 48, Élève 9</t>
  </si>
  <si>
    <t>Élève 1 propose au Projet A (son choix n°2).</t>
  </si>
  <si>
    <t>Le projet est plein. Élève 1 n'est pas meilleur. REJET.</t>
  </si>
  <si>
    <t>Élève 18, Élève 30, Élève 36, Élève 34, Élève 23, Élève 37, Élève 4, Élève 13, Élève 14, Élève 29, Élève 5, Élève 12, Élève 35, Élève 6, Élève 38, Élève 10, Élève 31, Élève 26, Élève 42, Élève 43, Élève 20, Élève 45, Élève 46, Élève 47, Élève 48, Élève 9, Élève 1</t>
  </si>
  <si>
    <t>Élève 18 propose au Projet E (son choix n°4).</t>
  </si>
  <si>
    <t>Élève 30, Élève 36, Élève 34, Élève 23, Élève 37, Élève 4, Élève 13, Élève 14, Élève 29, Élève 5, Élève 12, Élève 35, Élève 6, Élève 38, Élève 10, Élève 31, Élève 26, Élève 42, Élève 43, Élève 20, Élève 45, Élève 46, Élève 47, Élève 48, Élève 9, Élève 1, Élève 18</t>
  </si>
  <si>
    <t>Élève 30 propose au Projet C (son choix n°3).</t>
  </si>
  <si>
    <t>Élève 36, Élève 34, Élève 23, Élève 37, Élève 4, Élève 13, Élève 14, Élève 29, Élève 5, Élève 12, Élève 35, Élève 6, Élève 38, Élève 10, Élève 31, Élève 26, Élève 42, Élève 43, Élève 20, Élève 45, Élève 46, Élève 47, Élève 48, Élève 9, Élève 1, Élève 18, Élève 30</t>
  </si>
  <si>
    <t>Élève 36 propose au Projet D (son choix n°3).</t>
  </si>
  <si>
    <t>Élève 34, Élève 23, Élève 37, Élève 4, Élève 13, Élève 14, Élève 29, Élève 5, Élève 12, Élève 35, Élève 6, Élève 38, Élève 10, Élève 31, Élève 26, Élève 42, Élève 43, Élève 20, Élève 45, Élève 46, Élève 47, Élève 48, Élève 9, Élève 1, Élève 18, Élève 30, Élève 36</t>
  </si>
  <si>
    <t>Élève 34 propose au Projet E (son choix n°3).</t>
  </si>
  <si>
    <t>Élève 23, Élève 37, Élève 4, Élève 13, Élève 14, Élève 29, Élève 5, Élève 12, Élève 35, Élève 6, Élève 38, Élève 10, Élève 31, Élève 26, Élève 42, Élève 43, Élève 20, Élève 45, Élève 46, Élève 47, Élève 48, Élève 9, Élève 1, Élève 18, Élève 30, Élève 36, Élève 34</t>
  </si>
  <si>
    <t>Élève 23 propose au Projet A (son choix n°4).</t>
  </si>
  <si>
    <t>Élève 37, Élève 4, Élève 13, Élève 14, Élève 29, Élève 5, Élève 12, Élève 35, Élève 6, Élève 38, Élève 10, Élève 31, Élève 26, Élève 42, Élève 43, Élève 20, Élève 45, Élève 46, Élève 47, Élève 48, Élève 9, Élève 1, Élève 18, Élève 30, Élève 36, Élève 34, Élève 23</t>
  </si>
  <si>
    <t>Élève 37 propose au Projet A (son choix n°3).</t>
  </si>
  <si>
    <t>Élève 4, Élève 13, Élève 14, Élève 29, Élève 5, Élève 12, Élève 35, Élève 6, Élève 38, Élève 10, Élève 31, Élève 26, Élève 42, Élève 43, Élève 20, Élève 45, Élève 46, Élève 47, Élève 48, Élève 9, Élève 1, Élève 18, Élève 30, Élève 36, Élève 34, Élève 23, Élève 37</t>
  </si>
  <si>
    <t>Élève 4 propose au Projet E (son choix n°4).</t>
  </si>
  <si>
    <t>Élève 13, Élève 14, Élève 29, Élève 5, Élève 12, Élève 35, Élève 6, Élève 38, Élève 10, Élève 31, Élève 26, Élève 42, Élève 43, Élève 20, Élève 45, Élève 46, Élève 47, Élève 48, Élève 9, Élève 1, Élève 18, Élève 30, Élève 36, Élève 34, Élève 23, Élève 37, Élève 4</t>
  </si>
  <si>
    <t>Élève 13 propose au Projet C (son choix n°3).</t>
  </si>
  <si>
    <t>Élève 14, Élève 29, Élève 5, Élève 12, Élève 35, Élève 6, Élève 38, Élève 10, Élève 31, Élève 26, Élève 42, Élève 43, Élève 20, Élève 45, Élève 46, Élève 47, Élève 48, Élève 9, Élève 1, Élève 18, Élève 30, Élève 36, Élève 34, Élève 23, Élève 37, Élève 4, Élève 13</t>
  </si>
  <si>
    <t>Élève 14 propose au Projet E (son choix n°4).</t>
  </si>
  <si>
    <t>Élève 29, Élève 5, Élève 12, Élève 35, Élève 6, Élève 38, Élève 10, Élève 31, Élève 26, Élève 42, Élève 43, Élève 20, Élève 45, Élève 46, Élève 47, Élève 48, Élève 9, Élève 1, Élève 18, Élève 30, Élève 36, Élève 34, Élève 23, Élève 37, Élève 4, Élève 13, Élève 14</t>
  </si>
  <si>
    <t>Élève 29 propose au Projet B (son choix n°4).</t>
  </si>
  <si>
    <t>Élève 5, Élève 12, Élève 35, Élève 6, Élève 38, Élève 10, Élève 31, Élève 26, Élève 42, Élève 43, Élève 20, Élève 45, Élève 46, Élève 47, Élève 48, Élève 9, Élève 1, Élève 18, Élève 30, Élève 36, Élève 34, Élève 23, Élève 37, Élève 4, Élève 13, Élève 14, Élève 29</t>
  </si>
  <si>
    <t>Élève 5 propose au Projet B (son choix n°4).</t>
  </si>
  <si>
    <t>Élève 12, Élève 35, Élève 6, Élève 38, Élève 10, Élève 31, Élève 26, Élève 42, Élève 43, Élève 20, Élève 45, Élève 46, Élève 47, Élève 48, Élève 9, Élève 1, Élève 18, Élève 30, Élève 36, Élève 34, Élève 23, Élève 37, Élève 4, Élève 13, Élève 14, Élève 29, Élève 5</t>
  </si>
  <si>
    <t>Élève 12 propose au Projet C (son choix n°4).</t>
  </si>
  <si>
    <t>Élève 35, Élève 6, Élève 38, Élève 10, Élève 31, Élève 26, Élève 42, Élève 43, Élève 20, Élève 45, Élève 46, Élève 47, Élève 48, Élève 9, Élève 1, Élève 18, Élève 30, Élève 36, Élève 34, Élève 23, Élève 37, Élève 4, Élève 13, Élève 14, Élève 29, Élève 5, Élève 12</t>
  </si>
  <si>
    <t>Élève 35 propose au Projet D (son choix n°4).</t>
  </si>
  <si>
    <t>Élève 6, Élève 38, Élève 10, Élève 31, Élève 26, Élève 42, Élève 43, Élève 20, Élève 45, Élève 46, Élève 47, Élève 48, Élève 9, Élève 1, Élève 18, Élève 30, Élève 36, Élève 34, Élève 23, Élève 37, Élève 4, Élève 13, Élève 14, Élève 29, Élève 5, Élève 12, Élève 35</t>
  </si>
  <si>
    <t>Élève 6 propose au Projet C (son choix n°4).</t>
  </si>
  <si>
    <t>Le projet est plein. Élève 6 est meilleur que Élève 15. ACCEPTATION et ÉVICTION.</t>
  </si>
  <si>
    <t>Projet C: Élève 21, Élève 6</t>
  </si>
  <si>
    <t>Élève 38, Élève 10, Élève 31, Élève 26, Élève 42, Élève 43, Élève 20, Élève 45, Élève 46, Élève 47, Élève 48, Élève 9, Élève 1, Élève 18, Élève 30, Élève 36, Élève 34, Élève 23, Élève 37, Élève 4, Élève 13, Élève 14, Élève 29, Élève 5, Élève 12, Élève 35, Élève 15</t>
  </si>
  <si>
    <t>Élève 38 propose au Projet D (son choix n°4).</t>
  </si>
  <si>
    <t>Élève 10, Élève 31, Élève 26, Élève 42, Élève 43, Élève 20, Élève 45, Élève 46, Élève 47, Élève 48, Élève 9, Élève 1, Élève 18, Élève 30, Élève 36, Élève 34, Élève 23, Élève 37, Élève 4, Élève 13, Élève 14, Élève 29, Élève 5, Élève 12, Élève 35, Élève 15, Élève 38</t>
  </si>
  <si>
    <t>Élève 10 propose au Projet E (son choix n°2).</t>
  </si>
  <si>
    <t>Le projet est plein. Élève 10 n'est pas meilleur. REJET.</t>
  </si>
  <si>
    <t>Élève 31, Élève 26, Élève 42, Élève 43, Élève 20, Élève 45, Élève 46, Élève 47, Élève 48, Élève 9, Élève 1, Élève 18, Élève 30, Élève 36, Élève 34, Élève 23, Élève 37, Élève 4, Élève 13, Élève 14, Élève 29, Élève 5, Élève 12, Élève 35, Élève 15, Élève 38, Élève 10</t>
  </si>
  <si>
    <t>Élève 31 propose au Projet D (son choix n°3).</t>
  </si>
  <si>
    <t>Élève 26, Élève 42, Élève 43, Élève 20, Élève 45, Élève 46, Élève 47, Élève 48, Élève 9, Élève 1, Élève 18, Élève 30, Élève 36, Élève 34, Élève 23, Élève 37, Élève 4, Élève 13, Élève 14, Élève 29, Élève 5, Élève 12, Élève 35, Élève 15, Élève 38, Élève 10, Élève 31</t>
  </si>
  <si>
    <t>Élève 26 propose au Projet E (son choix n°4).</t>
  </si>
  <si>
    <t>Le projet est plein. Élève 26 est meilleur que Élève 19. ACCEPTATION et ÉVICTION.</t>
  </si>
  <si>
    <t>Projet E: Élève 33, Élève 8, Élève 26</t>
  </si>
  <si>
    <t>Élève 42, Élève 43, Élève 20, Élève 45, Élève 46, Élève 47, Élève 48, Élève 9, Élève 1, Élève 18, Élève 30, Élève 36, Élève 34, Élève 23, Élève 37, Élève 4, Élève 13, Élève 14, Élève 29, Élève 5, Élève 12, Élève 35, Élève 15, Élève 38, Élève 10, Élève 31, Élève 19</t>
  </si>
  <si>
    <t>Élève 42 propose au Projet B (son choix n°4).</t>
  </si>
  <si>
    <t>Élève 43, Élève 20, Élève 45, Élève 46, Élève 47, Élève 48, Élève 9, Élève 1, Élève 18, Élève 30, Élève 36, Élève 34, Élève 23, Élève 37, Élève 4, Élève 13, Élève 14, Élève 29, Élève 5, Élève 12, Élève 35, Élève 15, Élève 38, Élève 10, Élève 31, Élève 19, Élève 42</t>
  </si>
  <si>
    <t>Élève 43 propose au Projet E (son choix n°4).</t>
  </si>
  <si>
    <t>Le projet est plein. Élève 43 est meilleur que Élève 8. ACCEPTATION et ÉVICTION.</t>
  </si>
  <si>
    <t>Projet E: Élève 33, Élève 26, Élève 43</t>
  </si>
  <si>
    <t>Élève 20, Élève 45, Élève 46, Élève 47, Élève 48, Élève 9, Élève 1, Élève 18, Élève 30, Élève 36, Élève 34, Élève 23, Élève 37, Élève 4, Élève 13, Élève 14, Élève 29, Élève 5, Élève 12, Élève 35, Élève 15, Élève 38, Élève 10, Élève 31, Élève 19, Élève 42, Élève 8</t>
  </si>
  <si>
    <t>Élève 20 propose au Projet C (son choix n°4).</t>
  </si>
  <si>
    <t>Élève 45, Élève 46, Élève 47, Élève 48, Élève 9, Élève 1, Élève 18, Élève 30, Élève 36, Élève 34, Élève 23, Élève 37, Élève 4, Élève 13, Élève 14, Élève 29, Élève 5, Élève 12, Élève 35, Élève 15, Élève 38, Élève 10, Élève 31, Élève 19, Élève 42, Élève 8, Élève 20</t>
  </si>
  <si>
    <t>Élève 45 propose au Projet D (son choix n°4).</t>
  </si>
  <si>
    <t>Le projet est plein. Élève 45 est meilleur que Élève 44. ACCEPTATION et ÉVICTION.</t>
  </si>
  <si>
    <t>Projet D: Élève 41, Élève 24, Élève 27, Élève 32, Élève 28, Élève 45</t>
  </si>
  <si>
    <t>Élève 46, Élève 47, Élève 48, Élève 9, Élève 1, Élève 18, Élève 30, Élève 36, Élève 34, Élève 23, Élève 37, Élève 4, Élève 13, Élève 14, Élève 29, Élève 5, Élève 12, Élève 35, Élève 15, Élève 38, Élève 10, Élève 31, Élève 19, Élève 42, Élève 8, Élève 20, Élève 44</t>
  </si>
  <si>
    <t>Élève 46 propose au Projet A (son choix n°4).</t>
  </si>
  <si>
    <t>Le projet est plein. Élève 46 est meilleur que Élève 50. ACCEPTATION et ÉVICTION.</t>
  </si>
  <si>
    <t>Projet A: Élève 39, Élève 3, Élève 46</t>
  </si>
  <si>
    <t>Élève 47, Élève 48, Élève 9, Élève 1, Élève 18, Élève 30, Élève 36, Élève 34, Élève 23, Élève 37, Élève 4, Élève 13, Élève 14, Élève 29, Élève 5, Élève 12, Élève 35, Élève 15, Élève 38, Élève 10, Élève 31, Élève 19, Élève 42, Élève 8, Élève 20, Élève 44, Élève 50</t>
  </si>
  <si>
    <t>Élève 47 propose au Projet B (son choix n°4).</t>
  </si>
  <si>
    <t>Le projet est plein. Élève 47 est meilleur que Élève 7. ACCEPTATION et ÉVICTION.</t>
  </si>
  <si>
    <t>Projet B: Élève 16, Élève 40, Élève 2, Élève 11, Élève 22, Élève 47</t>
  </si>
  <si>
    <t>Élève 48, Élève 9, Élève 1, Élève 18, Élève 30, Élève 36, Élève 34, Élève 23, Élève 37, Élève 4, Élève 13, Élève 14, Élève 29, Élève 5, Élève 12, Élève 35, Élève 15, Élève 38, Élève 10, Élève 31, Élève 19, Élève 42, Élève 8, Élève 20, Élève 44, Élève 50, Élève 7</t>
  </si>
  <si>
    <t>Élève 48 propose au Projet E (son choix n°4).</t>
  </si>
  <si>
    <t>Élève 9, Élève 1, Élève 18, Élève 30, Élève 36, Élève 34, Élève 23, Élève 37, Élève 4, Élève 13, Élève 14, Élève 29, Élève 5, Élève 12, Élève 35, Élève 15, Élève 38, Élève 10, Élève 31, Élève 19, Élève 42, Élève 8, Élève 20, Élève 44, Élève 50, Élève 7, Élève 48</t>
  </si>
  <si>
    <t>Élève 9 a épuisé sa liste de vœux.</t>
  </si>
  <si>
    <t>Élève 1, Élève 18, Élève 30, Élève 36, Élève 34, Élève 23, Élève 37, Élève 4, Élève 13, Élève 14, Élève 29, Élève 5, Élève 12, Élève 35, Élève 15, Élève 38, Élève 10, Élève 31, Élève 19, Élève 42, Élève 8, Élève 20, Élève 44, Élève 50, Élève 7, Élève 48</t>
  </si>
  <si>
    <t>Élève 1 propose au Projet E (son choix n°3).</t>
  </si>
  <si>
    <t>Élève 18, Élève 30, Élève 36, Élève 34, Élève 23, Élève 37, Élève 4, Élève 13, Élève 14, Élève 29, Élève 5, Élève 12, Élève 35, Élève 15, Élève 38, Élève 10, Élève 31, Élève 19, Élève 42, Élève 8, Élève 20, Élève 44, Élève 50, Élève 7, Élève 48, Élève 1</t>
  </si>
  <si>
    <t>Élève 18 propose au Projet B (son choix n°5).</t>
  </si>
  <si>
    <t>Élève 30, Élève 36, Élève 34, Élève 23, Élève 37, Élève 4, Élève 13, Élève 14, Élève 29, Élève 5, Élève 12, Élève 35, Élève 15, Élève 38, Élève 10, Élève 31, Élève 19, Élève 42, Élève 8, Élève 20, Élève 44, Élève 50, Élève 7, Élève 48, Élève 1, Élève 18</t>
  </si>
  <si>
    <t>Élève 30 propose au Projet D (son choix n°4).</t>
  </si>
  <si>
    <t>Élève 36, Élève 34, Élève 23, Élève 37, Élève 4, Élève 13, Élève 14, Élève 29, Élève 5, Élève 12, Élève 35, Élève 15, Élève 38, Élève 10, Élève 31, Élève 19, Élève 42, Élève 8, Élève 20, Élève 44, Élève 50, Élève 7, Élève 48, Élève 1, Élève 18, Élève 30</t>
  </si>
  <si>
    <t>Élève 36 propose au Projet A (son choix n°4).</t>
  </si>
  <si>
    <t>Élève 34, Élève 23, Élève 37, Élève 4, Élève 13, Élève 14, Élève 29, Élève 5, Élève 12, Élève 35, Élève 15, Élève 38, Élève 10, Élève 31, Élève 19, Élève 42, Élève 8, Élève 20, Élève 44, Élève 50, Élève 7, Élève 48, Élève 1, Élève 18, Élève 30, Élève 36</t>
  </si>
  <si>
    <t>Élève 34 propose au Projet C (son choix n°4).</t>
  </si>
  <si>
    <t>Élève 23, Élève 37, Élève 4, Élève 13, Élève 14, Élève 29, Élève 5, Élève 12, Élève 35, Élève 15, Élève 38, Élève 10, Élève 31, Élève 19, Élève 42, Élève 8, Élève 20, Élève 44, Élève 50, Élève 7, Élève 48, Élève 1, Élève 18, Élève 30, Élève 36, Élève 34</t>
  </si>
  <si>
    <t>Élève 23 propose au Projet B (son choix n°5).</t>
  </si>
  <si>
    <t>Élève 37, Élève 4, Élève 13, Élève 14, Élève 29, Élève 5, Élève 12, Élève 35, Élève 15, Élève 38, Élève 10, Élève 31, Élève 19, Élève 42, Élève 8, Élève 20, Élève 44, Élève 50, Élève 7, Élève 48, Élève 1, Élève 18, Élève 30, Élève 36, Élève 34, Élève 23</t>
  </si>
  <si>
    <t>Élève 37 propose au Projet B (son choix n°4).</t>
  </si>
  <si>
    <t>Élève 4, Élève 13, Élève 14, Élève 29, Élève 5, Élève 12, Élève 35, Élève 15, Élève 38, Élève 10, Élève 31, Élève 19, Élève 42, Élève 8, Élève 20, Élève 44, Élève 50, Élève 7, Élève 48, Élève 1, Élève 18, Élève 30, Élève 36, Élève 34, Élève 23, Élève 37</t>
  </si>
  <si>
    <t>Élève 4 propose au Projet B (son choix n°5).</t>
  </si>
  <si>
    <t>Élève 13, Élève 14, Élève 29, Élève 5, Élève 12, Élève 35, Élève 15, Élève 38, Élève 10, Élève 31, Élève 19, Élève 42, Élève 8, Élève 20, Élève 44, Élève 50, Élève 7, Élève 48, Élève 1, Élève 18, Élève 30, Élève 36, Élève 34, Élève 23, Élève 37, Élève 4</t>
  </si>
  <si>
    <t>Élève 13 propose au Projet B (son choix n°4).</t>
  </si>
  <si>
    <t>Élève 14, Élève 29, Élève 5, Élève 12, Élève 35, Élève 15, Élève 38, Élève 10, Élève 31, Élève 19, Élève 42, Élève 8, Élève 20, Élève 44, Élève 50, Élève 7, Élève 48, Élève 1, Élève 18, Élève 30, Élève 36, Élève 34, Élève 23, Élève 37, Élève 4, Élève 13</t>
  </si>
  <si>
    <t>Élève 14 propose au Projet D (son choix n°5).</t>
  </si>
  <si>
    <t>Le projet est plein. Élève 14 est meilleur que Élève 27. ACCEPTATION et ÉVICTION.</t>
  </si>
  <si>
    <t>Projet D: Élève 41, Élève 24, Élève 32, Élève 28, Élève 45, Élève 14</t>
  </si>
  <si>
    <t>Élève 29, Élève 5, Élève 12, Élève 35, Élève 15, Élève 38, Élève 10, Élève 31, Élève 19, Élève 42, Élève 8, Élève 20, Élève 44, Élève 50, Élève 7, Élève 48, Élève 1, Élève 18, Élève 30, Élève 36, Élève 34, Élève 23, Élève 37, Élève 4, Élève 13, Élève 27</t>
  </si>
  <si>
    <t>Élève 29 propose au Projet E (son choix n°5).</t>
  </si>
  <si>
    <t>Élève 5, Élève 12, Élève 35, Élève 15, Élève 38, Élève 10, Élève 31, Élève 19, Élève 42, Élève 8, Élève 20, Élève 44, Élève 50, Élève 7, Élève 48, Élève 1, Élève 18, Élève 30, Élève 36, Élève 34, Élève 23, Élève 37, Élève 4, Élève 13, Élève 27, Élève 29</t>
  </si>
  <si>
    <t>Élève 5 propose au Projet D (son choix n°5).</t>
  </si>
  <si>
    <t>Élève 12, Élève 35, Élève 15, Élève 38, Élève 10, Élève 31, Élève 19, Élève 42, Élève 8, Élève 20, Élève 44, Élève 50, Élève 7, Élève 48, Élève 1, Élève 18, Élève 30, Élève 36, Élève 34, Élève 23, Élève 37, Élève 4, Élève 13, Élève 27, Élève 29, Élève 5</t>
  </si>
  <si>
    <t>Élève 12 propose au Projet D (son choix n°5).</t>
  </si>
  <si>
    <t>Élève 35, Élève 15, Élève 38, Élève 10, Élève 31, Élève 19, Élève 42, Élève 8, Élève 20, Élève 44, Élève 50, Élève 7, Élève 48, Élève 1, Élève 18, Élève 30, Élève 36, Élève 34, Élève 23, Élève 37, Élève 4, Élève 13, Élève 27, Élève 29, Élève 5, Élève 12</t>
  </si>
  <si>
    <t>Élève 35 propose au Projet C (son choix n°5).</t>
  </si>
  <si>
    <t>Élève 15, Élève 38, Élève 10, Élève 31, Élève 19, Élève 42, Élève 8, Élève 20, Élève 44, Élève 50, Élève 7, Élève 48, Élève 1, Élève 18, Élève 30, Élève 36, Élève 34, Élève 23, Élève 37, Élève 4, Élève 13, Élève 27, Élève 29, Élève 5, Élève 12, Élève 35</t>
  </si>
  <si>
    <t>Élève 15 propose au Projet B (son choix n°2).</t>
  </si>
  <si>
    <t>Élève 38, Élève 10, Élève 31, Élève 19, Élève 42, Élève 8, Élève 20, Élève 44, Élève 50, Élève 7, Élève 48, Élève 1, Élève 18, Élève 30, Élève 36, Élève 34, Élève 23, Élève 37, Élève 4, Élève 13, Élève 27, Élève 29, Élève 5, Élève 12, Élève 35, Élève 15</t>
  </si>
  <si>
    <t>Élève 38 propose au Projet A (son choix n°5).</t>
  </si>
  <si>
    <t>Élève 10, Élève 31, Élève 19, Élève 42, Élève 8, Élève 20, Élève 44, Élève 50, Élève 7, Élève 48, Élève 1, Élève 18, Élève 30, Élève 36, Élève 34, Élève 23, Élève 37, Élève 4, Élève 13, Élève 27, Élève 29, Élève 5, Élève 12, Élève 35, Élève 15, Élève 38</t>
  </si>
  <si>
    <t>Élève 10 a épuisé sa liste de vœux.</t>
  </si>
  <si>
    <t>Élève 31, Élève 19, Élève 42, Élève 8, Élève 20, Élève 44, Élève 50, Élève 7, Élève 48, Élève 1, Élève 18, Élève 30, Élève 36, Élève 34, Élève 23, Élève 37, Élève 4, Élève 13, Élève 27, Élève 29, Élève 5, Élève 12, Élève 35, Élève 15, Élève 38</t>
  </si>
  <si>
    <t>Élève 31 propose au Projet E (son choix n°4).</t>
  </si>
  <si>
    <t>Le projet est plein. Élève 31 est meilleur que Élève 43. ACCEPTATION et ÉVICTION.</t>
  </si>
  <si>
    <t>Projet E: Élève 33, Élève 26, Élève 31</t>
  </si>
  <si>
    <t>Élève 19, Élève 42, Élève 8, Élève 20, Élève 44, Élève 50, Élève 7, Élève 48, Élève 1, Élève 18, Élève 30, Élève 36, Élève 34, Élève 23, Élève 37, Élève 4, Élève 13, Élève 27, Élève 29, Élève 5, Élève 12, Élève 35, Élève 15, Élève 38, Élève 43</t>
  </si>
  <si>
    <t>Élève 19 propose au Projet C (son choix n°3).</t>
  </si>
  <si>
    <t>Élève 42, Élève 8, Élève 20, Élève 44, Élève 50, Élève 7, Élève 48, Élève 1, Élève 18, Élève 30, Élève 36, Élève 34, Élève 23, Élève 37, Élève 4, Élève 13, Élève 27, Élève 29, Élève 5, Élève 12, Élève 35, Élève 15, Élève 38, Élève 43, Élève 19</t>
  </si>
  <si>
    <t>Élève 42 propose au Projet D (son choix n°5).</t>
  </si>
  <si>
    <t>Élève 8, Élève 20, Élève 44, Élève 50, Élève 7, Élève 48, Élève 1, Élève 18, Élève 30, Élève 36, Élève 34, Élève 23, Élève 37, Élève 4, Élève 13, Élève 27, Élève 29, Élève 5, Élève 12, Élève 35, Élève 15, Élève 38, Élève 43, Élève 19, Élève 42</t>
  </si>
  <si>
    <t>Élève 8 a épuisé sa liste de vœux.</t>
  </si>
  <si>
    <t>Élève 20, Élève 44, Élève 50, Élève 7, Élève 48, Élève 1, Élève 18, Élève 30, Élève 36, Élève 34, Élève 23, Élève 37, Élève 4, Élève 13, Élève 27, Élève 29, Élève 5, Élève 12, Élève 35, Élève 15, Élève 38, Élève 43, Élève 19, Élève 42</t>
  </si>
  <si>
    <t>Élève 20 propose au Projet B (son choix n°5).</t>
  </si>
  <si>
    <t>Élève 44, Élève 50, Élève 7, Élève 48, Élève 1, Élève 18, Élève 30, Élève 36, Élève 34, Élève 23, Élève 37, Élève 4, Élève 13, Élève 27, Élève 29, Élève 5, Élève 12, Élève 35, Élève 15, Élève 38, Élève 43, Élève 19, Élève 42, Élève 20</t>
  </si>
  <si>
    <t>Élève 44 propose au Projet A (son choix n°2).</t>
  </si>
  <si>
    <t>Le projet est plein. Élève 44 n'est pas meilleur. REJET.</t>
  </si>
  <si>
    <t>Élève 50, Élève 7, Élève 48, Élève 1, Élève 18, Élève 30, Élève 36, Élève 34, Élève 23, Élève 37, Élève 4, Élève 13, Élève 27, Élève 29, Élève 5, Élève 12, Élève 35, Élève 15, Élève 38, Élève 43, Élève 19, Élève 42, Élève 20, Élève 44</t>
  </si>
  <si>
    <t>Élève 50 propose au Projet D (son choix n°3).</t>
  </si>
  <si>
    <t>Élève 7, Élève 48, Élève 1, Élève 18, Élève 30, Élève 36, Élève 34, Élève 23, Élève 37, Élève 4, Élève 13, Élève 27, Élève 29, Élève 5, Élève 12, Élève 35, Élève 15, Élève 38, Élève 43, Élève 19, Élève 42, Élève 20, Élève 44, Élève 50</t>
  </si>
  <si>
    <t>Élève 7 propose au Projet C (son choix n°2).</t>
  </si>
  <si>
    <t>Le projet est plein. Élève 7 n'est pas meilleur. REJET.</t>
  </si>
  <si>
    <t>Élève 48, Élève 1, Élève 18, Élève 30, Élève 36, Élève 34, Élève 23, Élève 37, Élève 4, Élève 13, Élève 27, Élève 29, Élève 5, Élève 12, Élève 35, Élève 15, Élève 38, Élève 43, Élève 19, Élève 42, Élève 20, Élève 44, Élève 50, Élève 7</t>
  </si>
  <si>
    <t>Élève 48 propose au Projet A (son choix n°5).</t>
  </si>
  <si>
    <t>Élève 1, Élève 18, Élève 30, Élève 36, Élève 34, Élève 23, Élève 37, Élève 4, Élève 13, Élève 27, Élève 29, Élève 5, Élève 12, Élève 35, Élève 15, Élève 38, Élève 43, Élève 19, Élève 42, Élève 20, Élève 44, Élève 50, Élève 7, Élève 48</t>
  </si>
  <si>
    <t>Élève 1 propose au Projet C (son choix n°4).</t>
  </si>
  <si>
    <t>Élève 18, Élève 30, Élève 36, Élève 34, Élève 23, Élève 37, Élève 4, Élève 13, Élève 27, Élève 29, Élève 5, Élève 12, Élève 35, Élève 15, Élève 38, Élève 43, Élève 19, Élève 42, Élève 20, Élève 44, Élève 50, Élève 7, Élève 48, Élève 1</t>
  </si>
  <si>
    <t>Élève 18 a épuisé sa liste de vœux.</t>
  </si>
  <si>
    <t>Élève 30, Élève 36, Élève 34, Élève 23, Élève 37, Élève 4, Élève 13, Élève 27, Élève 29, Élève 5, Élève 12, Élève 35, Élève 15, Élève 38, Élève 43, Élève 19, Élève 42, Élève 20, Élève 44, Élève 50, Élève 7, Élève 48, Élève 1</t>
  </si>
  <si>
    <t>Élève 30 propose au Projet B (son choix n°5).</t>
  </si>
  <si>
    <t>Élève 36, Élève 34, Élève 23, Élève 37, Élève 4, Élève 13, Élève 27, Élève 29, Élève 5, Élève 12, Élève 35, Élève 15, Élève 38, Élève 43, Élève 19, Élève 42, Élève 20, Élève 44, Élève 50, Élève 7, Élève 48, Élève 1, Élève 30</t>
  </si>
  <si>
    <t>Élève 36 propose au Projet B (son choix n°5).</t>
  </si>
  <si>
    <t>Le projet est plein. Élève 36 est meilleur que Élève 40. ACCEPTATION et ÉVICTION.</t>
  </si>
  <si>
    <t>Projet B: Élève 16, Élève 2, Élève 11, Élève 22, Élève 47, Élève 36</t>
  </si>
  <si>
    <t>Élève 34, Élève 23, Élève 37, Élève 4, Élève 13, Élève 27, Élève 29, Élève 5, Élève 12, Élève 35, Élève 15, Élève 38, Élève 43, Élève 19, Élève 42, Élève 20, Élève 44, Élève 50, Élève 7, Élève 48, Élève 1, Élève 30, Élève 40</t>
  </si>
  <si>
    <t>Élève 34 propose au Projet A (son choix n°5).</t>
  </si>
  <si>
    <t>Élève 23, Élève 37, Élève 4, Élève 13, Élève 27, Élève 29, Élève 5, Élève 12, Élève 35, Élève 15, Élève 38, Élève 43, Élève 19, Élève 42, Élève 20, Élève 44, Élève 50, Élève 7, Élève 48, Élève 1, Élève 30, Élève 40, Élève 34</t>
  </si>
  <si>
    <t>Élève 23 a épuisé sa liste de vœux.</t>
  </si>
  <si>
    <t>Élève 37, Élève 4, Élève 13, Élève 27, Élève 29, Élève 5, Élève 12, Élève 35, Élève 15, Élève 38, Élève 43, Élève 19, Élève 42, Élève 20, Élève 44, Élève 50, Élève 7, Élève 48, Élève 1, Élève 30, Élève 40, Élève 34</t>
  </si>
  <si>
    <t>Élève 37 propose au Projet C (son choix n°5).</t>
  </si>
  <si>
    <t>Élève 4, Élève 13, Élève 27, Élève 29, Élève 5, Élève 12, Élève 35, Élève 15, Élève 38, Élève 43, Élève 19, Élève 42, Élève 20, Élève 44, Élève 50, Élève 7, Élève 48, Élève 1, Élève 30, Élève 40, Élève 34, Élève 37</t>
  </si>
  <si>
    <t>Élève 4 a épuisé sa liste de vœux.</t>
  </si>
  <si>
    <t>Élève 13, Élève 27, Élève 29, Élève 5, Élève 12, Élève 35, Élève 15, Élève 38, Élève 43, Élève 19, Élève 42, Élève 20, Élève 44, Élève 50, Élève 7, Élève 48, Élève 1, Élève 30, Élève 40, Élève 34, Élève 37</t>
  </si>
  <si>
    <t>Élève 13 propose au Projet E (son choix n°5).</t>
  </si>
  <si>
    <t>Élève 27, Élève 29, Élève 5, Élève 12, Élève 35, Élève 15, Élève 38, Élève 43, Élève 19, Élève 42, Élève 20, Élève 44, Élève 50, Élève 7, Élève 48, Élève 1, Élève 30, Élève 40, Élève 34, Élève 37, Élève 13</t>
  </si>
  <si>
    <t>Élève 27 propose au Projet A (son choix n°3).</t>
  </si>
  <si>
    <t>Élève 29, Élève 5, Élève 12, Élève 35, Élève 15, Élève 38, Élève 43, Élève 19, Élève 42, Élève 20, Élève 44, Élève 50, Élève 7, Élève 48, Élève 1, Élève 30, Élève 40, Élève 34, Élève 37, Élève 13, Élève 27</t>
  </si>
  <si>
    <t>Élève 29 a épuisé sa liste de vœux.</t>
  </si>
  <si>
    <t>Élève 5, Élève 12, Élève 35, Élève 15, Élève 38, Élève 43, Élève 19, Élève 42, Élève 20, Élève 44, Élève 50, Élève 7, Élève 48, Élève 1, Élève 30, Élève 40, Élève 34, Élève 37, Élève 13, Élève 27</t>
  </si>
  <si>
    <t>Élève 5 a épuisé sa liste de vœux.</t>
  </si>
  <si>
    <t>Élève 12, Élève 35, Élève 15, Élève 38, Élève 43, Élève 19, Élève 42, Élève 20, Élève 44, Élève 50, Élève 7, Élève 48, Élève 1, Élève 30, Élève 40, Élève 34, Élève 37, Élève 13, Élève 27</t>
  </si>
  <si>
    <t>Élève 12 a épuisé sa liste de vœux.</t>
  </si>
  <si>
    <t>Élève 35, Élève 15, Élève 38, Élève 43, Élève 19, Élève 42, Élève 20, Élève 44, Élève 50, Élève 7, Élève 48, Élève 1, Élève 30, Élève 40, Élève 34, Élève 37, Élève 13, Élève 27</t>
  </si>
  <si>
    <t>Élève 35 a épuisé sa liste de vœux.</t>
  </si>
  <si>
    <t>Élève 15, Élève 38, Élève 43, Élève 19, Élève 42, Élève 20, Élève 44, Élève 50, Élève 7, Élève 48, Élève 1, Élève 30, Élève 40, Élève 34, Élève 37, Élève 13, Élève 27</t>
  </si>
  <si>
    <t>Élève 15 propose au Projet E (son choix n°3).</t>
  </si>
  <si>
    <t>Le projet est plein. Élève 15 est meilleur que Élève 33. ACCEPTATION et ÉVICTION.</t>
  </si>
  <si>
    <t>Projet E: Élève 26, Élève 31, Élève 15</t>
  </si>
  <si>
    <t>Élève 38, Élève 43, Élève 19, Élève 42, Élève 20, Élève 44, Élève 50, Élève 7, Élève 48, Élève 1, Élève 30, Élève 40, Élève 34, Élève 37, Élève 13, Élève 27, Élève 33</t>
  </si>
  <si>
    <t>Élève 38 a épuisé sa liste de vœux.</t>
  </si>
  <si>
    <t>Élève 43, Élève 19, Élève 42, Élève 20, Élève 44, Élève 50, Élève 7, Élève 48, Élève 1, Élève 30, Élève 40, Élève 34, Élève 37, Élève 13, Élève 27, Élève 33</t>
  </si>
  <si>
    <t>Élève 43 propose au Projet C (son choix n°5).</t>
  </si>
  <si>
    <t>Élève 19, Élève 42, Élève 20, Élève 44, Élève 50, Élève 7, Élève 48, Élève 1, Élève 30, Élève 40, Élève 34, Élève 37, Élève 13, Élève 27, Élève 33, Élève 43</t>
  </si>
  <si>
    <t>Élève 19 propose au Projet B (son choix n°4).</t>
  </si>
  <si>
    <t>Élève 42, Élève 20, Élève 44, Élève 50, Élève 7, Élève 48, Élève 1, Élève 30, Élève 40, Élève 34, Élève 37, Élève 13, Élève 27, Élève 33, Élève 43, Élève 19</t>
  </si>
  <si>
    <t>Élève 42 a épuisé sa liste de vœux.</t>
  </si>
  <si>
    <t>Élève 20, Élève 44, Élève 50, Élève 7, Élève 48, Élève 1, Élève 30, Élève 40, Élève 34, Élève 37, Élève 13, Élève 27, Élève 33, Élève 43, Élève 19</t>
  </si>
  <si>
    <t>Élève 20 a épuisé sa liste de vœux.</t>
  </si>
  <si>
    <t>Élève 44, Élève 50, Élève 7, Élève 48, Élève 1, Élève 30, Élève 40, Élève 34, Élève 37, Élève 13, Élève 27, Élève 33, Élève 43, Élève 19</t>
  </si>
  <si>
    <t>Élève 44 propose au Projet C (son choix n°3).</t>
  </si>
  <si>
    <t>Élève 50, Élève 7, Élève 48, Élève 1, Élève 30, Élève 40, Élève 34, Élève 37, Élève 13, Élève 27, Élève 33, Élève 43, Élève 19, Élève 44</t>
  </si>
  <si>
    <t>Élève 50 propose au Projet B (son choix n°4).</t>
  </si>
  <si>
    <t>Élève 7, Élève 48, Élève 1, Élève 30, Élève 40, Élève 34, Élève 37, Élève 13, Élève 27, Élève 33, Élève 43, Élève 19, Élève 44, Élève 50</t>
  </si>
  <si>
    <t>Élève 7 a épuisé sa liste de vœux.</t>
  </si>
  <si>
    <t>Élève 48, Élève 1, Élève 30, Élève 40, Élève 34, Élève 37, Élève 13, Élève 27, Élève 33, Élève 43, Élève 19, Élève 44, Élève 50</t>
  </si>
  <si>
    <t>Élève 48 a épuisé sa liste de vœux.</t>
  </si>
  <si>
    <t>Élève 1, Élève 30, Élève 40, Élève 34, Élève 37, Élève 13, Élève 27, Élève 33, Élève 43, Élève 19, Élève 44, Élève 50</t>
  </si>
  <si>
    <t>Élève 1 propose au Projet B (son choix n°5).</t>
  </si>
  <si>
    <t>Élève 30, Élève 40, Élève 34, Élève 37, Élève 13, Élève 27, Élève 33, Élève 43, Élève 19, Élève 44, Élève 50, Élève 1</t>
  </si>
  <si>
    <t>Élève 30 a épuisé sa liste de vœux.</t>
  </si>
  <si>
    <t>Élève 40, Élève 34, Élève 37, Élève 13, Élève 27, Élève 33, Élève 43, Élève 19, Élève 44, Élève 50, Élève 1</t>
  </si>
  <si>
    <t>Élève 40 propose au Projet A (son choix n°2).</t>
  </si>
  <si>
    <t>Le projet est plein. Élève 40 n'est pas meilleur. REJET.</t>
  </si>
  <si>
    <t>Élève 34, Élève 37, Élève 13, Élève 27, Élève 33, Élève 43, Élève 19, Élève 44, Élève 50, Élève 1, Élève 40</t>
  </si>
  <si>
    <t>Élève 34 a épuisé sa liste de vœux.</t>
  </si>
  <si>
    <t>Élève 37, Élève 13, Élève 27, Élève 33, Élève 43, Élève 19, Élève 44, Élève 50, Élève 1, Élève 40</t>
  </si>
  <si>
    <t>Élève 37 a épuisé sa liste de vœux.</t>
  </si>
  <si>
    <t>Élève 13, Élève 27, Élève 33, Élève 43, Élève 19, Élève 44, Élève 50, Élève 1, Élève 40</t>
  </si>
  <si>
    <t>Élève 13 a épuisé sa liste de vœux.</t>
  </si>
  <si>
    <t>Élève 27, Élève 33, Élève 43, Élève 19, Élève 44, Élève 50, Élève 1, Élève 40</t>
  </si>
  <si>
    <t>Élève 27 propose au Projet B (son choix n°4).</t>
  </si>
  <si>
    <t>Élève 33, Élève 43, Élève 19, Élève 44, Élève 50, Élève 1, Élève 40, Élève 27</t>
  </si>
  <si>
    <t>Élève 33 propose au Projet C (son choix n°2).</t>
  </si>
  <si>
    <t>Le projet est plein. Élève 33 n'est pas meilleur. REJET.</t>
  </si>
  <si>
    <t>Élève 43, Élève 19, Élève 44, Élève 50, Élève 1, Élève 40, Élève 27, Élève 33</t>
  </si>
  <si>
    <t>Élève 43 a épuisé sa liste de vœux.</t>
  </si>
  <si>
    <t>Élève 19, Élève 44, Élève 50, Élève 1, Élève 40, Élève 27, Élève 33</t>
  </si>
  <si>
    <t>Élève 19 propose au Projet D (son choix n°5).</t>
  </si>
  <si>
    <t>Élève 44, Élève 50, Élève 1, Élève 40, Élève 27, Élève 33, Élève 19</t>
  </si>
  <si>
    <t>Élève 44 propose au Projet B (son choix n°4).</t>
  </si>
  <si>
    <t>Élève 50, Élève 1, Élève 40, Élève 27, Élève 33, Élève 19, Élève 44</t>
  </si>
  <si>
    <t>Élève 50 propose au Projet C (son choix n°5).</t>
  </si>
  <si>
    <t>Élève 1, Élève 40, Élève 27, Élève 33, Élève 19, Élève 44, Élève 50</t>
  </si>
  <si>
    <t>Élève 1 a épuisé sa liste de vœux.</t>
  </si>
  <si>
    <t>Élève 40, Élève 27, Élève 33, Élève 19, Élève 44, Élève 50</t>
  </si>
  <si>
    <t>Élève 40 propose au Projet E (son choix n°3).</t>
  </si>
  <si>
    <t>Le projet est plein. Élève 40 est meilleur que Élève 15. ACCEPTATION et ÉVICTION.</t>
  </si>
  <si>
    <t>Projet E: Élève 26, Élève 31, Élève 40</t>
  </si>
  <si>
    <t>Élève 27, Élève 33, Élève 19, Élève 44, Élève 50, Élève 15</t>
  </si>
  <si>
    <t>Élève 27 propose au Projet E (son choix n°5).</t>
  </si>
  <si>
    <t>Élève 33, Élève 19, Élève 44, Élève 50, Élève 15, Élève 27</t>
  </si>
  <si>
    <t>Élève 33 a épuisé sa liste de vœux.</t>
  </si>
  <si>
    <t>Élève 19, Élève 44, Élève 50, Élève 15, Élève 27</t>
  </si>
  <si>
    <t>Élève 19 a épuisé sa liste de vœux.</t>
  </si>
  <si>
    <t>Élève 44, Élève 50, Élève 15, Élève 27</t>
  </si>
  <si>
    <t>Élève 44 propose au Projet E (son choix n°5).</t>
  </si>
  <si>
    <t>Élève 50, Élève 15, Élève 27, Élève 44</t>
  </si>
  <si>
    <t>Élève 50 a épuisé sa liste de vœux.</t>
  </si>
  <si>
    <t>Élève 15, Élève 27, Élève 44</t>
  </si>
  <si>
    <t>Élève 15 propose au Projet D (son choix n°4).</t>
  </si>
  <si>
    <t>Le projet est plein. Élève 15 est meilleur que Élève 24. ACCEPTATION et ÉVICTION.</t>
  </si>
  <si>
    <t>Projet D: Élève 41, Élève 32, Élève 28, Élève 45, Élève 14, Élève 15</t>
  </si>
  <si>
    <t>Élève 27, Élève 44, Élève 24</t>
  </si>
  <si>
    <t>Élève 27 a épuisé sa liste de vœux.</t>
  </si>
  <si>
    <t>Élève 44, Élève 24</t>
  </si>
  <si>
    <t>Élève 44 a épuisé sa liste de vœux.</t>
  </si>
  <si>
    <t>Élève 24 propose au Projet B (son choix n°3).</t>
  </si>
  <si>
    <t>Élève 24 propose au Projet E (son choix n°4).</t>
  </si>
  <si>
    <t>Le projet est plein. Élève 24 est meilleur que Élève 31. ACCEPTATION et ÉVICTION.</t>
  </si>
  <si>
    <t>Projet E: Élève 26, Élève 40, Élève 24</t>
  </si>
  <si>
    <t>Élève 31 propose au Projet C (son choix n°5).</t>
  </si>
  <si>
    <t>Élève 31 a épuisé sa liste de vœux.</t>
  </si>
  <si>
    <t>Choix 6</t>
  </si>
  <si>
    <t>Élève 30, Élève 16, Élève 13, Élève 25</t>
  </si>
  <si>
    <t>OK (4/4)</t>
  </si>
  <si>
    <t>Élève 3, Élève 5, Élève 10, Élève 20, Élève 15, Élève 1, Élève 11, Élève 6</t>
  </si>
  <si>
    <t>OK (8/8)</t>
  </si>
  <si>
    <t>Élève 8, Élève 24, Élève 9</t>
  </si>
  <si>
    <t>OK (1/1)</t>
  </si>
  <si>
    <t>Élève 7, Élève 14, Élève 17, Élève 19, Élève 22, Élève 26</t>
  </si>
  <si>
    <t>Élève 18, Élève 21, Élève 23, Élève 28, Élève 29, Élève 12, Élève 4</t>
  </si>
  <si>
    <t>OK (7/7)</t>
  </si>
  <si>
    <t>Non affecté</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</si>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</sst>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Aptos Narrow"/>
      <family val="2"/>
      <scheme val="minor"/>
    </font>
    <font>
      <b/>
      <sz val="11"/>
      <color theme="1"/>
      <name val="Aptos Narrow"/>
      <family val="2"/>
      <scheme val="minor"/>
    </font>
    <font>
      <u/>
      <sz val="11"/>
      <color theme="10"/>
      <name val="Aptos Narrow"/>
      <family val="2"/>
      <scheme val="minor"/>
    </font>
    <font>
      <sz val="11"/>
      <color rgb="FF000000"/>
      <name val="Aptos Narrow"/>
      <family val="2"/>
    </font>
    <font>
      <sz val="11"/>
      <color rgb="FFFF0000"/>
      <name val="Aptos Narrow"/>
      <family val="2"/>
      <scheme val="minor"/>
    </font>
    <font>
      <u/>
      <sz val="11"/>
      <color rgb="FF0000FF"/>
      <name val="Aptos Narrow"/>
      <family val="2"/>
      <scheme val="minor"/>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 fillId="0" borderId="0" applyNumberFormat="0" applyFill="0" applyBorder="0" applyAlignment="0" applyProtection="0"/>
  </cellStyleXfs>
  <cellXfs count="10">
    <xf numFmtId="0" fontId="0" fillId="0" borderId="0" xfId="0"/>
    <xf numFmtId="0" fontId="2" fillId="0" borderId="0" xfId="1"/>
    <xf numFmtId="0" fontId="1" fillId="0" borderId="0" xfId="0" applyFont="1"/>
    <xf numFmtId="0" fontId="4" fillId="0" borderId="0" xfId="0" applyFont="1"/>
    <xf numFmtId="0" fontId="0" fillId="0" borderId="1" xfId="0" applyBorder="1"/>
    <xf numFmtId="0" fontId="5" fillId="0" borderId="0" xfId="1" applyFont="1"/>
    <xf numFmtId="0" fontId="0" fillId="0" borderId="0" xfId="0" applyAlignment="1">
      <alignment wrapText="1"/>
    </xf>
    <xf numFmtId="0" fontId="1" fillId="0" borderId="1" xfId="0" applyFont="1" applyBorder="1"/>
    <xf numFmtId="0" fontId="0" fillId="0" borderId="1" xfId="0" applyBorder="1"/>
    <xf numFmtId="0" fontId="0" fillId="0" borderId="0" xfId="0" applyFill="1"/>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Répartition des Élèves</a:t>
            </a:r>
          </a:p>
        </c:rich>
      </c:tx>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Bilan_Performance!$A$3:$A$5</c:f>
              <c:strCache>
                <c:ptCount val="3"/>
                <c:pt idx="0">
                  <c:v>Nombre total d'élèves</c:v>
                </c:pt>
                <c:pt idx="1">
                  <c:v>Nombre d'élèves affectés</c:v>
                </c:pt>
                <c:pt idx="2">
                  <c:v>Nombre d'élèves non affectés</c:v>
                </c:pt>
              </c:strCache>
            </c:strRef>
          </c:cat>
          <c:val>
            <c:numRef>
              <c:f>Bilan_Performance!$B$3:$B$5</c:f>
              <c:numCache>
                <c:formatCode>General</c:formatCode>
                <c:ptCount val="3"/>
                <c:pt idx="0">
                  <c:v>20</c:v>
                </c:pt>
                <c:pt idx="1">
                  <c:v>20</c:v>
                </c:pt>
                <c:pt idx="2">
                  <c:v>0</c:v>
                </c:pt>
              </c:numCache>
            </c:numRef>
          </c:val>
          <c:extLst>
            <c:ext xmlns:c16="http://schemas.microsoft.com/office/drawing/2014/chart" uri="{C3380CC4-5D6E-409C-BE32-E72D297353CC}">
              <c16:uniqueId val="{00000000-9DA3-4FDD-8A56-38F8FE780A80}"/>
            </c:ext>
          </c:extLst>
        </c:ser>
        <c:dLbls>
          <c:showLegendKey val="0"/>
          <c:showVal val="0"/>
          <c:showCatName val="0"/>
          <c:showSerName val="0"/>
          <c:showPercent val="0"/>
          <c:showBubbleSize val="0"/>
        </c:dLbls>
        <c:gapWidth val="150"/>
        <c:axId val="1109477567"/>
        <c:axId val="1109473247"/>
      </c:barChart>
      <c:catAx>
        <c:axId val="1109477567"/>
        <c:scaling>
          <c:orientation val="minMax"/>
        </c:scaling>
        <c:delete val="0"/>
        <c:axPos val="b"/>
        <c:numFmt formatCode="General" sourceLinked="1"/>
        <c:majorTickMark val="out"/>
        <c:minorTickMark val="none"/>
        <c:tickLblPos val="nextTo"/>
        <c:crossAx val="1109473247"/>
        <c:crosses val="autoZero"/>
        <c:auto val="1"/>
        <c:lblAlgn val="ctr"/>
        <c:lblOffset val="100"/>
        <c:noMultiLvlLbl val="0"/>
      </c:catAx>
      <c:valAx>
        <c:axId val="1109473247"/>
        <c:scaling>
          <c:orientation val="minMax"/>
        </c:scaling>
        <c:delete val="0"/>
        <c:axPos val="l"/>
        <c:majorGridlines/>
        <c:title>
          <c:tx>
            <c:rich>
              <a:bodyPr/>
              <a:lstStyle/>
              <a:p>
                <a:pPr>
                  <a:defRPr/>
                </a:pPr>
                <a:r>
                  <a:rPr lang="fr-FR"/>
                  <a:t>Nombre d'élèves</a:t>
                </a:r>
              </a:p>
            </c:rich>
          </c:tx>
          <c:overlay val="0"/>
        </c:title>
        <c:numFmt formatCode="General" sourceLinked="1"/>
        <c:majorTickMark val="out"/>
        <c:minorTickMark val="none"/>
        <c:tickLblPos val="nextTo"/>
        <c:crossAx val="110947756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Satisfaction des Vœux</a:t>
            </a:r>
          </a:p>
        </c:rich>
      </c:tx>
      <c:overlay val="0"/>
    </c:title>
    <c:autoTitleDeleted val="0"/>
    <c:plotArea>
      <c:layout/>
      <c:barChart>
        <c:barDir val="col"/>
        <c:grouping val="clustered"/>
        <c:varyColors val="0"/>
        <c:ser>
          <c:idx val="0"/>
          <c:order val="0"/>
          <c:tx>
            <c:v>Nombre d'élèves</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Bilan_Performance!$A$11:$A$13</c:f>
              <c:strCache>
                <c:ptCount val="3"/>
                <c:pt idx="0">
                  <c:v>Élèves ayant obtenu leur 1er vœu</c:v>
                </c:pt>
                <c:pt idx="1">
                  <c:v>Élèves ayant obtenu leur 2ème vœu</c:v>
                </c:pt>
                <c:pt idx="2">
                  <c:v>Élèves ayant obtenu leur 3ème vœu</c:v>
                </c:pt>
              </c:strCache>
            </c:strRef>
          </c:cat>
          <c:val>
            <c:numRef>
              <c:f>Bilan_Performance!$B$11:$B$13</c:f>
              <c:numCache>
                <c:formatCode>General</c:formatCode>
                <c:ptCount val="3"/>
                <c:pt idx="0">
                  <c:v>15</c:v>
                </c:pt>
                <c:pt idx="1">
                  <c:v>4</c:v>
                </c:pt>
                <c:pt idx="2">
                  <c:v>1</c:v>
                </c:pt>
              </c:numCache>
            </c:numRef>
          </c:val>
          <c:extLst>
            <c:ext xmlns:c16="http://schemas.microsoft.com/office/drawing/2014/chart" uri="{C3380CC4-5D6E-409C-BE32-E72D297353CC}">
              <c16:uniqueId val="{00000000-4BE4-4581-A63C-BF8A58425F91}"/>
            </c:ext>
          </c:extLst>
        </c:ser>
        <c:dLbls>
          <c:showLegendKey val="0"/>
          <c:showVal val="0"/>
          <c:showCatName val="0"/>
          <c:showSerName val="0"/>
          <c:showPercent val="0"/>
          <c:showBubbleSize val="0"/>
        </c:dLbls>
        <c:gapWidth val="150"/>
        <c:axId val="1109475167"/>
        <c:axId val="1109461247"/>
      </c:barChart>
      <c:catAx>
        <c:axId val="1109475167"/>
        <c:scaling>
          <c:orientation val="minMax"/>
        </c:scaling>
        <c:delete val="0"/>
        <c:axPos val="b"/>
        <c:numFmt formatCode="General" sourceLinked="1"/>
        <c:majorTickMark val="out"/>
        <c:minorTickMark val="none"/>
        <c:tickLblPos val="nextTo"/>
        <c:crossAx val="1109461247"/>
        <c:crosses val="autoZero"/>
        <c:auto val="1"/>
        <c:lblAlgn val="ctr"/>
        <c:lblOffset val="100"/>
        <c:noMultiLvlLbl val="0"/>
      </c:catAx>
      <c:valAx>
        <c:axId val="1109461247"/>
        <c:scaling>
          <c:orientation val="minMax"/>
        </c:scaling>
        <c:delete val="0"/>
        <c:axPos val="l"/>
        <c:majorGridlines/>
        <c:title>
          <c:tx>
            <c:rich>
              <a:bodyPr/>
              <a:lstStyle/>
              <a:p>
                <a:pPr>
                  <a:defRPr/>
                </a:pPr>
                <a:r>
                  <a:rPr lang="fr-FR"/>
                  <a:t>Nombre d'élèves</a:t>
                </a:r>
              </a:p>
            </c:rich>
          </c:tx>
          <c:overlay val="0"/>
        </c:title>
        <c:numFmt formatCode="General" sourceLinked="1"/>
        <c:majorTickMark val="out"/>
        <c:minorTickMark val="none"/>
        <c:tickLblPos val="nextTo"/>
        <c:crossAx val="110947516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Performance des Projets</a:t>
            </a:r>
          </a:p>
        </c:rich>
      </c:tx>
      <c:overlay val="0"/>
    </c:title>
    <c:autoTitleDeleted val="0"/>
    <c:plotArea>
      <c:layout/>
      <c:barChart>
        <c:barDir val="bar"/>
        <c:grouping val="clustered"/>
        <c:varyColors val="0"/>
        <c:ser>
          <c:idx val="0"/>
          <c:order val="0"/>
          <c:tx>
            <c:v>Nombre de projets</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Bilan_Performance!$A$18:$A$19</c:f>
              <c:strCache>
                <c:ptCount val="2"/>
                <c:pt idx="0">
                  <c:v>Nombre total de projets</c:v>
                </c:pt>
                <c:pt idx="1">
                  <c:v>Projets ayant atteint leur capacité Min.</c:v>
                </c:pt>
              </c:strCache>
            </c:strRef>
          </c:cat>
          <c:val>
            <c:numRef>
              <c:f>Bilan_Performance!$B$18:$B$19</c:f>
              <c:numCache>
                <c:formatCode>General</c:formatCode>
                <c:ptCount val="2"/>
                <c:pt idx="0">
                  <c:v>7</c:v>
                </c:pt>
                <c:pt idx="1">
                  <c:v>7</c:v>
                </c:pt>
              </c:numCache>
            </c:numRef>
          </c:val>
          <c:extLst>
            <c:ext xmlns:c16="http://schemas.microsoft.com/office/drawing/2014/chart" uri="{C3380CC4-5D6E-409C-BE32-E72D297353CC}">
              <c16:uniqueId val="{00000000-A05E-43E7-94F3-78E409F638F4}"/>
            </c:ext>
          </c:extLst>
        </c:ser>
        <c:dLbls>
          <c:showLegendKey val="0"/>
          <c:showVal val="0"/>
          <c:showCatName val="0"/>
          <c:showSerName val="0"/>
          <c:showPercent val="0"/>
          <c:showBubbleSize val="0"/>
        </c:dLbls>
        <c:gapWidth val="150"/>
        <c:axId val="1109464607"/>
        <c:axId val="1109467487"/>
      </c:barChart>
      <c:catAx>
        <c:axId val="1109464607"/>
        <c:scaling>
          <c:orientation val="minMax"/>
        </c:scaling>
        <c:delete val="0"/>
        <c:axPos val="l"/>
        <c:numFmt formatCode="General" sourceLinked="1"/>
        <c:majorTickMark val="out"/>
        <c:minorTickMark val="none"/>
        <c:tickLblPos val="nextTo"/>
        <c:crossAx val="1109467487"/>
        <c:crosses val="autoZero"/>
        <c:auto val="1"/>
        <c:lblAlgn val="ctr"/>
        <c:lblOffset val="100"/>
        <c:noMultiLvlLbl val="0"/>
      </c:catAx>
      <c:valAx>
        <c:axId val="1109467487"/>
        <c:scaling>
          <c:orientation val="minMax"/>
        </c:scaling>
        <c:delete val="0"/>
        <c:axPos val="b"/>
        <c:majorGridlines/>
        <c:title>
          <c:tx>
            <c:rich>
              <a:bodyPr/>
              <a:lstStyle/>
              <a:p>
                <a:pPr>
                  <a:defRPr/>
                </a:pPr>
                <a:r>
                  <a:rPr lang="fr-FR"/>
                  <a:t>Nombre de projets</a:t>
                </a:r>
              </a:p>
            </c:rich>
          </c:tx>
          <c:overlay val="0"/>
        </c:title>
        <c:numFmt formatCode="General" sourceLinked="1"/>
        <c:majorTickMark val="out"/>
        <c:minorTickMark val="none"/>
        <c:tickLblPos val="nextTo"/>
        <c:crossAx val="110946460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228600</xdr:colOff>
          <xdr:row>1</xdr:row>
          <xdr:rowOff>123825</xdr:rowOff>
        </xdr:from>
        <xdr:to>
          <xdr:col>4</xdr:col>
          <xdr:colOff>590550</xdr:colOff>
          <xdr:row>2</xdr:row>
          <xdr:rowOff>171450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Générer les données de test (élèves et projets)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4</xdr:row>
          <xdr:rowOff>38100</xdr:rowOff>
        </xdr:from>
        <xdr:to>
          <xdr:col>2</xdr:col>
          <xdr:colOff>742950</xdr:colOff>
          <xdr:row>5</xdr:row>
          <xdr:rowOff>85725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Lancer les affectation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409575</xdr:colOff>
          <xdr:row>9</xdr:row>
          <xdr:rowOff>133350</xdr:rowOff>
        </xdr:from>
        <xdr:to>
          <xdr:col>3</xdr:col>
          <xdr:colOff>104775</xdr:colOff>
          <xdr:row>10</xdr:row>
          <xdr:rowOff>180975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Affectations par élève</a:t>
              </a: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304800</xdr:colOff>
          <xdr:row>6</xdr:row>
          <xdr:rowOff>0</xdr:rowOff>
        </xdr:from>
        <xdr:to>
          <xdr:col>3</xdr:col>
          <xdr:colOff>495300</xdr:colOff>
          <xdr:row>7</xdr:row>
          <xdr:rowOff>47625</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Lancer les affectation + pas à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476250</xdr:colOff>
          <xdr:row>12</xdr:row>
          <xdr:rowOff>123825</xdr:rowOff>
        </xdr:from>
        <xdr:to>
          <xdr:col>2</xdr:col>
          <xdr:colOff>676275</xdr:colOff>
          <xdr:row>13</xdr:row>
          <xdr:rowOff>171450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Composition des projets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628650</xdr:colOff>
          <xdr:row>19</xdr:row>
          <xdr:rowOff>85725</xdr:rowOff>
        </xdr:from>
        <xdr:to>
          <xdr:col>2</xdr:col>
          <xdr:colOff>352425</xdr:colOff>
          <xdr:row>20</xdr:row>
          <xdr:rowOff>133350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Performance</a:t>
              </a: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a:p>
              <a:pPr algn="ctr" rtl="0">
                <a:defRPr sz="1000"/>
              </a:pPr>
              <a:r>
                <a:rPr lang="fr-FR" sz="1100" b="0" i="0" u="none" strike="noStrike" baseline="0">
                  <a:solidFill>
                    <a:srgbClr val="000000"/>
                  </a:solidFill>
                  <a:latin typeface="Aptos Narrow"/>
                </a:rPr>
                <a:t>Perf</a:t>
              </a:r>
            </a:p>
          </xdr:txBody>
        </xdr:sp>
        <xdr:clientData fPrintsWithSheet="0"/>
      </xdr:twoCellAnchor>
    </mc:Choice>
    <mc:Fallback/>
  </mc:AlternateContent>
  <xdr:oneCellAnchor>
    <xdr:from>
      <xdr:col>1</xdr:col>
      <xdr:colOff>723900</xdr:colOff>
      <xdr:row>25</xdr:row>
      <xdr:rowOff>123823</xdr:rowOff>
    </xdr:from>
    <xdr:ext cx="11115675" cy="12915902"/>
    <xdr:sp macro="" textlink="">
      <xdr:nvSpPr>
        <xdr:cNvPr id="2" name="ZoneTexte 1">
          <a:extLst>
            <a:ext uri="{FF2B5EF4-FFF2-40B4-BE49-F238E27FC236}">
              <a16:creationId xmlns:a16="http://schemas.microsoft.com/office/drawing/2014/main" id="{44AB0F1C-4A34-8BD6-2095-1DEC8AFB270E}"/>
            </a:ext>
          </a:extLst>
        </xdr:cNvPr>
        <xdr:cNvSpPr txBox="1"/>
      </xdr:nvSpPr>
      <xdr:spPr>
        <a:xfrm>
          <a:off x="1485900" y="4886323"/>
          <a:ext cx="11115675" cy="129159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rtl="0"/>
          <a:r>
            <a:rPr lang="fr-FR" sz="1100" b="1">
              <a:solidFill>
                <a:schemeClr val="tx1"/>
              </a:solidFill>
              <a:effectLst/>
              <a:latin typeface="+mn-lt"/>
              <a:ea typeface="+mn-ea"/>
              <a:cs typeface="+mn-cs"/>
            </a:rPr>
            <a:t>Introduction : À quoi sert cet algorithme ?</a:t>
          </a:r>
        </a:p>
        <a:p>
          <a:pPr rtl="0"/>
          <a:r>
            <a:rPr lang="fr-FR" sz="1100">
              <a:solidFill>
                <a:schemeClr val="tx1"/>
              </a:solidFill>
              <a:effectLst/>
              <a:latin typeface="+mn-lt"/>
              <a:ea typeface="+mn-ea"/>
              <a:cs typeface="+mn-cs"/>
            </a:rPr>
            <a:t>Cet algorithme, connu sous le nom de </a:t>
          </a:r>
          <a:r>
            <a:rPr lang="fr-FR" sz="1100" b="1">
              <a:solidFill>
                <a:schemeClr val="tx1"/>
              </a:solidFill>
              <a:effectLst/>
              <a:latin typeface="+mn-lt"/>
              <a:ea typeface="+mn-ea"/>
              <a:cs typeface="+mn-cs"/>
            </a:rPr>
            <a:t>Gale-Shapley</a:t>
          </a:r>
          <a:r>
            <a:rPr lang="fr-FR" sz="1100">
              <a:solidFill>
                <a:schemeClr val="tx1"/>
              </a:solidFill>
              <a:effectLst/>
              <a:latin typeface="+mn-lt"/>
              <a:ea typeface="+mn-ea"/>
              <a:cs typeface="+mn-cs"/>
            </a:rPr>
            <a:t> ou </a:t>
          </a:r>
          <a:r>
            <a:rPr lang="fr-FR" sz="1100" b="1">
              <a:solidFill>
                <a:schemeClr val="tx1"/>
              </a:solidFill>
              <a:effectLst/>
              <a:latin typeface="+mn-lt"/>
              <a:ea typeface="+mn-ea"/>
              <a:cs typeface="+mn-cs"/>
            </a:rPr>
            <a:t>algorithme des affectations stables</a:t>
          </a:r>
          <a:r>
            <a:rPr lang="fr-FR" sz="1100">
              <a:solidFill>
                <a:schemeClr val="tx1"/>
              </a:solidFill>
              <a:effectLst/>
              <a:latin typeface="+mn-lt"/>
              <a:ea typeface="+mn-ea"/>
              <a:cs typeface="+mn-cs"/>
            </a:rPr>
            <a:t>, est utilisé pour résoudre des problèmes d'appariement complexes où les préférences des deux côtés doivent être respectées. Son cas d'usage le plus célèbre en France est le système </a:t>
          </a:r>
          <a:r>
            <a:rPr lang="fr-FR" sz="1100" b="1">
              <a:solidFill>
                <a:schemeClr val="tx1"/>
              </a:solidFill>
              <a:effectLst/>
              <a:latin typeface="+mn-lt"/>
              <a:ea typeface="+mn-ea"/>
              <a:cs typeface="+mn-cs"/>
            </a:rPr>
            <a:t>Parcoursup</a:t>
          </a:r>
          <a:r>
            <a:rPr lang="fr-FR" sz="1100">
              <a:solidFill>
                <a:schemeClr val="tx1"/>
              </a:solidFill>
              <a:effectLst/>
              <a:latin typeface="+mn-lt"/>
              <a:ea typeface="+mn-ea"/>
              <a:cs typeface="+mn-cs"/>
            </a:rPr>
            <a:t> pour l'affectation des lycéens à l'enseignement supérieur. Il sert aussi à affecter des internes en médecine à des hôpitaux ou, comme dans notre cas, des élèves à des projets. Son but n'est pas de donner à chacun son premier choix, mais de produire un résultat </a:t>
          </a:r>
          <a:r>
            <a:rPr lang="fr-FR" sz="1100" b="1">
              <a:solidFill>
                <a:schemeClr val="tx1"/>
              </a:solidFill>
              <a:effectLst/>
              <a:latin typeface="+mn-lt"/>
              <a:ea typeface="+mn-ea"/>
              <a:cs typeface="+mn-cs"/>
            </a:rPr>
            <a:t>juste et sans regrets</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Le Fonctionnement : L'Analogie du Bal Organisé 💃🕺</a:t>
          </a:r>
        </a:p>
        <a:p>
          <a:pPr rtl="0"/>
          <a:r>
            <a:rPr lang="fr-FR" sz="1100">
              <a:solidFill>
                <a:schemeClr val="tx1"/>
              </a:solidFill>
              <a:effectLst/>
              <a:latin typeface="+mn-lt"/>
              <a:ea typeface="+mn-ea"/>
              <a:cs typeface="+mn-cs"/>
            </a:rPr>
            <a:t>Pour comprendre comment l'affectation fonctionne, imaginez que les élèves et les projets participent à un grand bal.</a:t>
          </a:r>
        </a:p>
        <a:p>
          <a:pPr rtl="0"/>
          <a:r>
            <a:rPr lang="fr-FR" sz="1100" b="1">
              <a:solidFill>
                <a:schemeClr val="tx1"/>
              </a:solidFill>
              <a:effectLst/>
              <a:latin typeface="+mn-lt"/>
              <a:ea typeface="+mn-ea"/>
              <a:cs typeface="+mn-cs"/>
            </a:rPr>
            <a:t>Les Élèves Invitent :</a:t>
          </a:r>
          <a:r>
            <a:rPr lang="fr-FR" sz="1100">
              <a:solidFill>
                <a:schemeClr val="tx1"/>
              </a:solidFill>
              <a:effectLst/>
              <a:latin typeface="+mn-lt"/>
              <a:ea typeface="+mn-ea"/>
              <a:cs typeface="+mn-cs"/>
            </a:rPr>
            <a:t> Ce sont les élèves qui prennent l'initiative. La macro prend un élève "libre" (sans projet) et lui demande d'inviter le projet qui est tout en haut de sa liste de vœux. C'est sa </a:t>
          </a:r>
          <a:r>
            <a:rPr lang="fr-FR" sz="1100" b="1">
              <a:solidFill>
                <a:schemeClr val="tx1"/>
              </a:solidFill>
              <a:effectLst/>
              <a:latin typeface="+mn-lt"/>
              <a:ea typeface="+mn-ea"/>
              <a:cs typeface="+mn-cs"/>
            </a:rPr>
            <a:t>proposition</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L'Acceptation est Provisoire :</a:t>
          </a:r>
          <a:r>
            <a:rPr lang="fr-FR" sz="1100">
              <a:solidFill>
                <a:schemeClr val="tx1"/>
              </a:solidFill>
              <a:effectLst/>
              <a:latin typeface="+mn-lt"/>
              <a:ea typeface="+mn-ea"/>
              <a:cs typeface="+mn-cs"/>
            </a:rPr>
            <a:t> Quand un projet reçoit une invitation, sa réponse dépend de sa situation. L'important est que toute acceptation est </a:t>
          </a:r>
          <a:r>
            <a:rPr lang="fr-FR" sz="1100" b="1">
              <a:solidFill>
                <a:schemeClr val="tx1"/>
              </a:solidFill>
              <a:effectLst/>
              <a:latin typeface="+mn-lt"/>
              <a:ea typeface="+mn-ea"/>
              <a:cs typeface="+mn-cs"/>
            </a:rPr>
            <a:t>provisoire</a:t>
          </a:r>
          <a:r>
            <a:rPr lang="fr-FR" sz="1100">
              <a:solidFill>
                <a:schemeClr val="tx1"/>
              </a:solidFill>
              <a:effectLst/>
              <a:latin typeface="+mn-lt"/>
              <a:ea typeface="+mn-ea"/>
              <a:cs typeface="+mn-cs"/>
            </a:rPr>
            <a:t> jusqu'à la toute fin.</a:t>
          </a:r>
        </a:p>
        <a:p>
          <a:pPr lvl="1" rtl="0"/>
          <a:r>
            <a:rPr lang="fr-FR" sz="1100" b="1">
              <a:solidFill>
                <a:schemeClr val="tx1"/>
              </a:solidFill>
              <a:effectLst/>
              <a:latin typeface="+mn-lt"/>
              <a:ea typeface="+mn-ea"/>
              <a:cs typeface="+mn-cs"/>
            </a:rPr>
            <a:t>S'il a une place de libre :</a:t>
          </a:r>
          <a:r>
            <a:rPr lang="fr-FR" sz="1100">
              <a:solidFill>
                <a:schemeClr val="tx1"/>
              </a:solidFill>
              <a:effectLst/>
              <a:latin typeface="+mn-lt"/>
              <a:ea typeface="+mn-ea"/>
              <a:cs typeface="+mn-cs"/>
            </a:rPr>
            <a:t> Il accepte de "danser" provisoirement avec l'élève.</a:t>
          </a:r>
        </a:p>
        <a:p>
          <a:pPr lvl="1" rtl="0"/>
          <a:r>
            <a:rPr lang="fr-FR" sz="1100" b="1">
              <a:solidFill>
                <a:schemeClr val="tx1"/>
              </a:solidFill>
              <a:effectLst/>
              <a:latin typeface="+mn-lt"/>
              <a:ea typeface="+mn-ea"/>
              <a:cs typeface="+mn-cs"/>
            </a:rPr>
            <a:t>S'il est déjà complet :</a:t>
          </a:r>
          <a:r>
            <a:rPr lang="fr-FR" sz="1100">
              <a:solidFill>
                <a:schemeClr val="tx1"/>
              </a:solidFill>
              <a:effectLst/>
              <a:latin typeface="+mn-lt"/>
              <a:ea typeface="+mn-ea"/>
              <a:cs typeface="+mn-cs"/>
            </a:rPr>
            <a:t> Il compare le nouvel élève avec ceux qu'il a déjà acceptés. S'il préfère le nouvel arrivant au "moins bon" de ses partenaires actuels, il </a:t>
          </a:r>
          <a:r>
            <a:rPr lang="fr-FR" sz="1100" b="1">
              <a:solidFill>
                <a:schemeClr val="tx1"/>
              </a:solidFill>
              <a:effectLst/>
              <a:latin typeface="+mn-lt"/>
              <a:ea typeface="+mn-ea"/>
              <a:cs typeface="+mn-cs"/>
            </a:rPr>
            <a:t>évince</a:t>
          </a:r>
          <a:r>
            <a:rPr lang="fr-FR" sz="1100">
              <a:solidFill>
                <a:schemeClr val="tx1"/>
              </a:solidFill>
              <a:effectLst/>
              <a:latin typeface="+mn-lt"/>
              <a:ea typeface="+mn-ea"/>
              <a:cs typeface="+mn-cs"/>
            </a:rPr>
            <a:t> le moins bon (qui redevient libre 💔) et accepte provisoirement le nouveau. Sinon, il rejette l'invitation.</a:t>
          </a:r>
        </a:p>
        <a:p>
          <a:pPr rtl="0"/>
          <a:r>
            <a:rPr lang="fr-FR" sz="1100" b="1">
              <a:solidFill>
                <a:schemeClr val="tx1"/>
              </a:solidFill>
              <a:effectLst/>
              <a:latin typeface="+mn-lt"/>
              <a:ea typeface="+mn-ea"/>
              <a:cs typeface="+mn-cs"/>
            </a:rPr>
            <a:t>La Fin du Bal :</a:t>
          </a:r>
          <a:r>
            <a:rPr lang="fr-FR" sz="1100">
              <a:solidFill>
                <a:schemeClr val="tx1"/>
              </a:solidFill>
              <a:effectLst/>
              <a:latin typeface="+mn-lt"/>
              <a:ea typeface="+mn-ea"/>
              <a:cs typeface="+mn-cs"/>
            </a:rPr>
            <a:t> Ce cycle de propositions, d'acceptations provisoires et d'évictions continue jusqu'à ce que plus aucun élève ne puisse faire de nouvelle proposition. À ce moment, toutes les "danses provisoires" deviennent définitives.</a:t>
          </a:r>
        </a:p>
        <a:p>
          <a:pPr rtl="0"/>
          <a:r>
            <a:rPr lang="fr-FR" sz="1100" b="1">
              <a:solidFill>
                <a:schemeClr val="tx1"/>
              </a:solidFill>
              <a:effectLst/>
              <a:latin typeface="+mn-lt"/>
              <a:ea typeface="+mn-ea"/>
              <a:cs typeface="+mn-cs"/>
            </a:rPr>
            <a:t>L'Objectif : Atteindre une Affectation Stable 🤝</a:t>
          </a:r>
        </a:p>
        <a:p>
          <a:pPr rtl="0"/>
          <a:r>
            <a:rPr lang="fr-FR" sz="1100">
              <a:solidFill>
                <a:schemeClr val="tx1"/>
              </a:solidFill>
              <a:effectLst/>
              <a:latin typeface="+mn-lt"/>
              <a:ea typeface="+mn-ea"/>
              <a:cs typeface="+mn-cs"/>
            </a:rPr>
            <a:t>Le but de ce processus complexe est d'atteindre une </a:t>
          </a:r>
          <a:r>
            <a:rPr lang="fr-FR" sz="1100" b="1">
              <a:solidFill>
                <a:schemeClr val="tx1"/>
              </a:solidFill>
              <a:effectLst/>
              <a:latin typeface="+mn-lt"/>
              <a:ea typeface="+mn-ea"/>
              <a:cs typeface="+mn-cs"/>
            </a:rPr>
            <a:t>affectation stable</a:t>
          </a:r>
          <a:r>
            <a:rPr lang="fr-FR" sz="1100">
              <a:solidFill>
                <a:schemeClr val="tx1"/>
              </a:solidFill>
              <a:effectLst/>
              <a:latin typeface="+mn-lt"/>
              <a:ea typeface="+mn-ea"/>
              <a:cs typeface="+mn-cs"/>
            </a:rPr>
            <a:t>. Mais qu'est-ce que cela signifie ?</a:t>
          </a:r>
        </a:p>
        <a:p>
          <a:pPr rtl="0"/>
          <a:r>
            <a:rPr lang="fr-FR" sz="1100">
              <a:solidFill>
                <a:schemeClr val="tx1"/>
              </a:solidFill>
              <a:effectLst/>
              <a:latin typeface="+mn-lt"/>
              <a:ea typeface="+mn-ea"/>
              <a:cs typeface="+mn-cs"/>
            </a:rPr>
            <a:t>Une affectation est stable s'il n'existe aucune </a:t>
          </a:r>
          <a:r>
            <a:rPr lang="fr-FR" sz="1100" b="1">
              <a:solidFill>
                <a:schemeClr val="tx1"/>
              </a:solidFill>
              <a:effectLst/>
              <a:latin typeface="+mn-lt"/>
              <a:ea typeface="+mn-ea"/>
              <a:cs typeface="+mn-cs"/>
            </a:rPr>
            <a:t>paire "frustrée"</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Une paire "frustrée" est un duo composé d'un élève (Alex) et d'un projet qu'il n'a pas obtenu (Projet Z), où les </a:t>
          </a:r>
          <a:r>
            <a:rPr lang="fr-FR" sz="1100" b="1">
              <a:solidFill>
                <a:schemeClr val="tx1"/>
              </a:solidFill>
              <a:effectLst/>
              <a:latin typeface="+mn-lt"/>
              <a:ea typeface="+mn-ea"/>
              <a:cs typeface="+mn-cs"/>
            </a:rPr>
            <a:t>deux conditions suivantes sont vraies en même temps</a:t>
          </a:r>
          <a:r>
            <a:rPr lang="fr-FR" sz="1100">
              <a:solidFill>
                <a:schemeClr val="tx1"/>
              </a:solidFill>
              <a:effectLst/>
              <a:latin typeface="+mn-lt"/>
              <a:ea typeface="+mn-ea"/>
              <a:cs typeface="+mn-cs"/>
            </a:rPr>
            <a:t> :</a:t>
          </a:r>
        </a:p>
        <a:p>
          <a:pPr rtl="0"/>
          <a:r>
            <a:rPr lang="fr-FR" sz="1100">
              <a:solidFill>
                <a:schemeClr val="tx1"/>
              </a:solidFill>
              <a:effectLst/>
              <a:latin typeface="+mn-lt"/>
              <a:ea typeface="+mn-ea"/>
              <a:cs typeface="+mn-cs"/>
            </a:rPr>
            <a:t>Alex préfère le Projet Z au projet qu'il a finalement eu.</a:t>
          </a:r>
        </a:p>
        <a:p>
          <a:pPr rtl="0"/>
          <a:r>
            <a:rPr lang="fr-FR" sz="1100">
              <a:solidFill>
                <a:schemeClr val="tx1"/>
              </a:solidFill>
              <a:effectLst/>
              <a:latin typeface="+mn-lt"/>
              <a:ea typeface="+mn-ea"/>
              <a:cs typeface="+mn-cs"/>
            </a:rPr>
            <a:t>ET</a:t>
          </a:r>
        </a:p>
        <a:p>
          <a:pPr rtl="0"/>
          <a:r>
            <a:rPr lang="fr-FR" sz="1100">
              <a:solidFill>
                <a:schemeClr val="tx1"/>
              </a:solidFill>
              <a:effectLst/>
              <a:latin typeface="+mn-lt"/>
              <a:ea typeface="+mn-ea"/>
              <a:cs typeface="+mn-cs"/>
            </a:rPr>
            <a:t>Le </a:t>
          </a:r>
          <a:r>
            <a:rPr lang="fr-FR" sz="1100" b="1">
              <a:solidFill>
                <a:schemeClr val="tx1"/>
              </a:solidFill>
              <a:effectLst/>
              <a:latin typeface="+mn-lt"/>
              <a:ea typeface="+mn-ea"/>
              <a:cs typeface="+mn-cs"/>
            </a:rPr>
            <a:t>Projet Z préfère</a:t>
          </a:r>
          <a:r>
            <a:rPr lang="fr-FR" sz="1100">
              <a:solidFill>
                <a:schemeClr val="tx1"/>
              </a:solidFill>
              <a:effectLst/>
              <a:latin typeface="+mn-lt"/>
              <a:ea typeface="+mn-ea"/>
              <a:cs typeface="+mn-cs"/>
            </a:rPr>
            <a:t> Alex à au moins un des élèves qui lui ont été affectés.</a:t>
          </a:r>
        </a:p>
        <a:p>
          <a:pPr rtl="0"/>
          <a:r>
            <a:rPr lang="fr-FR" sz="1100">
              <a:solidFill>
                <a:schemeClr val="tx1"/>
              </a:solidFill>
              <a:effectLst/>
              <a:latin typeface="+mn-lt"/>
              <a:ea typeface="+mn-ea"/>
              <a:cs typeface="+mn-cs"/>
            </a:rPr>
            <a:t>Si une telle paire existait, l'affectation ne tiendrait pas : Alex et le Projet Z auraient un intérêt mutuel à tout annuler pour se mettre ensemble.</a:t>
          </a:r>
        </a:p>
        <a:p>
          <a:pPr rtl="0"/>
          <a:r>
            <a:rPr lang="fr-FR" sz="1100">
              <a:solidFill>
                <a:schemeClr val="tx1"/>
              </a:solidFill>
              <a:effectLst/>
              <a:latin typeface="+mn-lt"/>
              <a:ea typeface="+mn-ea"/>
              <a:cs typeface="+mn-cs"/>
            </a:rPr>
            <a:t>L'algorithme garantit qu'à la fin, </a:t>
          </a:r>
          <a:r>
            <a:rPr lang="fr-FR" sz="1100" b="1">
              <a:solidFill>
                <a:schemeClr val="tx1"/>
              </a:solidFill>
              <a:effectLst/>
              <a:latin typeface="+mn-lt"/>
              <a:ea typeface="+mn-ea"/>
              <a:cs typeface="+mn-cs"/>
            </a:rPr>
            <a:t>aucune paire de ce type n'existe</a:t>
          </a:r>
          <a:r>
            <a:rPr lang="fr-FR" sz="1100">
              <a:solidFill>
                <a:schemeClr val="tx1"/>
              </a:solidFill>
              <a:effectLst/>
              <a:latin typeface="+mn-lt"/>
              <a:ea typeface="+mn-ea"/>
              <a:cs typeface="+mn-cs"/>
            </a:rPr>
            <a:t>. Chaque élève sait que les projets qu'il préférait l'ont rejeté pour de meilleurs candidats, et chaque projet sait que les élèves qu'il préférait ont obtenu une place dans un projet qu'ils désiraient encore plus. C'est un équilibre sans regrets mutuels légitimes.</a:t>
          </a: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pPr rtl="0"/>
          <a:r>
            <a:rPr lang="fr-FR" sz="1100">
              <a:solidFill>
                <a:schemeClr val="tx1"/>
              </a:solidFill>
              <a:effectLst/>
              <a:latin typeface="+mn-lt"/>
              <a:ea typeface="+mn-ea"/>
              <a:cs typeface="+mn-cs"/>
            </a:rPr>
            <a:t>L'algorithme de Gale-Shapley est non seulement démontré mathématiquement, mais c'est aussi un exemple célèbre d'algorithme dont les propriétés sont élégantes et prouvées de manière formelle.</a:t>
          </a:r>
        </a:p>
        <a:p>
          <a:pPr rtl="0"/>
          <a:r>
            <a:rPr lang="fr-FR" sz="1100">
              <a:solidFill>
                <a:schemeClr val="tx1"/>
              </a:solidFill>
              <a:effectLst/>
              <a:latin typeface="+mn-lt"/>
              <a:ea typeface="+mn-ea"/>
              <a:cs typeface="+mn-cs"/>
            </a:rPr>
            <a:t>Il a été publié en 1962 par les mathématiciens </a:t>
          </a:r>
          <a:r>
            <a:rPr lang="fr-FR" sz="1100" b="1">
              <a:solidFill>
                <a:schemeClr val="tx1"/>
              </a:solidFill>
              <a:effectLst/>
              <a:latin typeface="+mn-lt"/>
              <a:ea typeface="+mn-ea"/>
              <a:cs typeface="+mn-cs"/>
            </a:rPr>
            <a:t>David Gale</a:t>
          </a:r>
          <a:r>
            <a:rPr lang="fr-FR" sz="1100">
              <a:solidFill>
                <a:schemeClr val="tx1"/>
              </a:solidFill>
              <a:effectLst/>
              <a:latin typeface="+mn-lt"/>
              <a:ea typeface="+mn-ea"/>
              <a:cs typeface="+mn-cs"/>
            </a:rPr>
            <a:t> et </a:t>
          </a:r>
          <a:r>
            <a:rPr lang="fr-FR" sz="1100" b="1">
              <a:solidFill>
                <a:schemeClr val="tx1"/>
              </a:solidFill>
              <a:effectLst/>
              <a:latin typeface="+mn-lt"/>
              <a:ea typeface="+mn-ea"/>
              <a:cs typeface="+mn-cs"/>
            </a:rPr>
            <a:t>Lloyd Shapley</a:t>
          </a:r>
          <a:r>
            <a:rPr lang="fr-FR" sz="1100">
              <a:solidFill>
                <a:schemeClr val="tx1"/>
              </a:solidFill>
              <a:effectLst/>
              <a:latin typeface="+mn-lt"/>
              <a:ea typeface="+mn-ea"/>
              <a:cs typeface="+mn-cs"/>
            </a:rPr>
            <a:t> (qui a d'ailleurs reçu le Prix Nobel d'Économie en 2012 pour ces travaux sur la stabilité).</a:t>
          </a:r>
        </a:p>
        <a:p>
          <a:pPr rtl="0"/>
          <a:r>
            <a:rPr lang="fr-FR" sz="1100">
              <a:solidFill>
                <a:schemeClr val="tx1"/>
              </a:solidFill>
              <a:effectLst/>
              <a:latin typeface="+mn-lt"/>
              <a:ea typeface="+mn-ea"/>
              <a:cs typeface="+mn-cs"/>
            </a:rPr>
            <a:t>Les démonstrations mathématiques prouvent principalement trois choses :</a:t>
          </a:r>
        </a:p>
        <a:p>
          <a:pPr rtl="0"/>
          <a:r>
            <a:rPr lang="fr-FR" sz="1100" b="1">
              <a:solidFill>
                <a:schemeClr val="tx1"/>
              </a:solidFill>
              <a:effectLst/>
              <a:latin typeface="+mn-lt"/>
              <a:ea typeface="+mn-ea"/>
              <a:cs typeface="+mn-cs"/>
            </a:rPr>
            <a:t>1. La Garantie de Terminaison ✅</a:t>
          </a:r>
        </a:p>
        <a:p>
          <a:pPr rtl="0"/>
          <a:r>
            <a:rPr lang="fr-FR" sz="1100">
              <a:solidFill>
                <a:schemeClr val="tx1"/>
              </a:solidFill>
              <a:effectLst/>
              <a:latin typeface="+mn-lt"/>
              <a:ea typeface="+mn-ea"/>
              <a:cs typeface="+mn-cs"/>
            </a:rPr>
            <a:t>L'algorithme se termine toujours et ne peut pas tourner en boucle indéfiniment.</a:t>
          </a:r>
        </a:p>
        <a:p>
          <a:pPr rtl="0"/>
          <a:r>
            <a:rPr lang="fr-FR" sz="1100" b="1">
              <a:solidFill>
                <a:schemeClr val="tx1"/>
              </a:solidFill>
              <a:effectLst/>
              <a:latin typeface="+mn-lt"/>
              <a:ea typeface="+mn-ea"/>
              <a:cs typeface="+mn-cs"/>
            </a:rPr>
            <a:t>La preuve est simple :</a:t>
          </a:r>
          <a:r>
            <a:rPr lang="fr-FR" sz="1100">
              <a:solidFill>
                <a:schemeClr val="tx1"/>
              </a:solidFill>
              <a:effectLst/>
              <a:latin typeface="+mn-lt"/>
              <a:ea typeface="+mn-ea"/>
              <a:cs typeface="+mn-cs"/>
            </a:rPr>
            <a:t> Il y a un nombre fini d'élèves et de projets. Un élève ne propose jamais deux fois au même projet. Au pire des cas, chaque élève proposera une fois à chaque projet de sa liste, ce qui représente un nombre fini d'itérations.</a:t>
          </a:r>
        </a:p>
        <a:p>
          <a:pPr rtl="0"/>
          <a:r>
            <a:rPr lang="fr-FR" sz="1100" b="1">
              <a:solidFill>
                <a:schemeClr val="tx1"/>
              </a:solidFill>
              <a:effectLst/>
              <a:latin typeface="+mn-lt"/>
              <a:ea typeface="+mn-ea"/>
              <a:cs typeface="+mn-cs"/>
            </a:rPr>
            <a:t>2. La Garantie de Stabilité 🤝</a:t>
          </a:r>
        </a:p>
        <a:p>
          <a:pPr rtl="0"/>
          <a:r>
            <a:rPr lang="fr-FR" sz="1100">
              <a:solidFill>
                <a:schemeClr val="tx1"/>
              </a:solidFill>
              <a:effectLst/>
              <a:latin typeface="+mn-lt"/>
              <a:ea typeface="+mn-ea"/>
              <a:cs typeface="+mn-cs"/>
            </a:rPr>
            <a:t>C'est la démonstration la plus importante : le résultat final est </a:t>
          </a:r>
          <a:r>
            <a:rPr lang="fr-FR" sz="1100" b="1">
              <a:solidFill>
                <a:schemeClr val="tx1"/>
              </a:solidFill>
              <a:effectLst/>
              <a:latin typeface="+mn-lt"/>
              <a:ea typeface="+mn-ea"/>
              <a:cs typeface="+mn-cs"/>
            </a:rPr>
            <a:t>toujours une affectation stable</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L'idée de la preuve (par l'absurde) est la suivante :</a:t>
          </a:r>
          <a:endParaRPr lang="fr-FR" sz="1100">
            <a:solidFill>
              <a:schemeClr val="tx1"/>
            </a:solidFill>
            <a:effectLst/>
            <a:latin typeface="+mn-lt"/>
            <a:ea typeface="+mn-ea"/>
            <a:cs typeface="+mn-cs"/>
          </a:endParaRPr>
        </a:p>
        <a:p>
          <a:pPr rtl="0"/>
          <a:r>
            <a:rPr lang="fr-FR" sz="1100">
              <a:solidFill>
                <a:schemeClr val="tx1"/>
              </a:solidFill>
              <a:effectLst/>
              <a:latin typeface="+mn-lt"/>
              <a:ea typeface="+mn-ea"/>
              <a:cs typeface="+mn-cs"/>
            </a:rPr>
            <a:t>Imaginons que le résultat final soit </a:t>
          </a:r>
          <a:r>
            <a:rPr lang="fr-FR" sz="1100" b="1">
              <a:solidFill>
                <a:schemeClr val="tx1"/>
              </a:solidFill>
              <a:effectLst/>
              <a:latin typeface="+mn-lt"/>
              <a:ea typeface="+mn-ea"/>
              <a:cs typeface="+mn-cs"/>
            </a:rPr>
            <a:t>instable</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Cela signifie qu'il existe une "paire frustrée" : un élève </a:t>
          </a:r>
          <a:r>
            <a:rPr lang="fr-FR" sz="1100" b="1">
              <a:solidFill>
                <a:schemeClr val="tx1"/>
              </a:solidFill>
              <a:effectLst/>
              <a:latin typeface="+mn-lt"/>
              <a:ea typeface="+mn-ea"/>
              <a:cs typeface="+mn-cs"/>
            </a:rPr>
            <a:t>Alex</a:t>
          </a:r>
          <a:r>
            <a:rPr lang="fr-FR" sz="1100">
              <a:solidFill>
                <a:schemeClr val="tx1"/>
              </a:solidFill>
              <a:effectLst/>
              <a:latin typeface="+mn-lt"/>
              <a:ea typeface="+mn-ea"/>
              <a:cs typeface="+mn-cs"/>
            </a:rPr>
            <a:t> et un projet </a:t>
          </a:r>
          <a:r>
            <a:rPr lang="fr-FR" sz="1100" b="1">
              <a:solidFill>
                <a:schemeClr val="tx1"/>
              </a:solidFill>
              <a:effectLst/>
              <a:latin typeface="+mn-lt"/>
              <a:ea typeface="+mn-ea"/>
              <a:cs typeface="+mn-cs"/>
            </a:rPr>
            <a:t>Projet Z</a:t>
          </a:r>
          <a:r>
            <a:rPr lang="fr-FR" sz="1100">
              <a:solidFill>
                <a:schemeClr val="tx1"/>
              </a:solidFill>
              <a:effectLst/>
              <a:latin typeface="+mn-lt"/>
              <a:ea typeface="+mn-ea"/>
              <a:cs typeface="+mn-cs"/>
            </a:rPr>
            <a:t> qui se préfèrent mutuellement à leurs affectations finales.</a:t>
          </a:r>
        </a:p>
        <a:p>
          <a:pPr rtl="0"/>
          <a:r>
            <a:rPr lang="fr-FR" sz="1100">
              <a:solidFill>
                <a:schemeClr val="tx1"/>
              </a:solidFill>
              <a:effectLst/>
              <a:latin typeface="+mn-lt"/>
              <a:ea typeface="+mn-ea"/>
              <a:cs typeface="+mn-cs"/>
            </a:rPr>
            <a:t>Si Alex préfère le Projet Z à son projet final, cela veut dire qu'il a </a:t>
          </a:r>
          <a:r>
            <a:rPr lang="fr-FR" sz="1100" b="1">
              <a:solidFill>
                <a:schemeClr val="tx1"/>
              </a:solidFill>
              <a:effectLst/>
              <a:latin typeface="+mn-lt"/>
              <a:ea typeface="+mn-ea"/>
              <a:cs typeface="+mn-cs"/>
            </a:rPr>
            <a:t>obligatoirement proposé au Projet Z avant</a:t>
          </a:r>
          <a:r>
            <a:rPr lang="fr-FR" sz="1100">
              <a:solidFill>
                <a:schemeClr val="tx1"/>
              </a:solidFill>
              <a:effectLst/>
              <a:latin typeface="+mn-lt"/>
              <a:ea typeface="+mn-ea"/>
              <a:cs typeface="+mn-cs"/>
            </a:rPr>
            <a:t> de proposer à son projet final (car il suit sa liste de vœux dans l'ordre).</a:t>
          </a:r>
        </a:p>
        <a:p>
          <a:pPr rtl="0"/>
          <a:r>
            <a:rPr lang="fr-FR" sz="1100">
              <a:solidFill>
                <a:schemeClr val="tx1"/>
              </a:solidFill>
              <a:effectLst/>
              <a:latin typeface="+mn-lt"/>
              <a:ea typeface="+mn-ea"/>
              <a:cs typeface="+mn-cs"/>
            </a:rPr>
            <a:t>Quand Alex a proposé au Projet Z, deux choses ont pu se passer :</a:t>
          </a:r>
        </a:p>
        <a:p>
          <a:pPr lvl="1" rtl="0"/>
          <a:r>
            <a:rPr lang="fr-FR" sz="1100">
              <a:solidFill>
                <a:schemeClr val="tx1"/>
              </a:solidFill>
              <a:effectLst/>
              <a:latin typeface="+mn-lt"/>
              <a:ea typeface="+mn-ea"/>
              <a:cs typeface="+mn-cs"/>
            </a:rPr>
            <a:t>Soit le Projet Z l'a </a:t>
          </a:r>
          <a:r>
            <a:rPr lang="fr-FR" sz="1100" b="1">
              <a:solidFill>
                <a:schemeClr val="tx1"/>
              </a:solidFill>
              <a:effectLst/>
              <a:latin typeface="+mn-lt"/>
              <a:ea typeface="+mn-ea"/>
              <a:cs typeface="+mn-cs"/>
            </a:rPr>
            <a:t>rejeté directement</a:t>
          </a:r>
          <a:r>
            <a:rPr lang="fr-FR" sz="1100">
              <a:solidFill>
                <a:schemeClr val="tx1"/>
              </a:solidFill>
              <a:effectLst/>
              <a:latin typeface="+mn-lt"/>
              <a:ea typeface="+mn-ea"/>
              <a:cs typeface="+mn-cs"/>
            </a:rPr>
            <a:t> pour des élèves qu'il préférait déjà.</a:t>
          </a:r>
        </a:p>
        <a:p>
          <a:pPr lvl="1" rtl="0"/>
          <a:r>
            <a:rPr lang="fr-FR" sz="1100">
              <a:solidFill>
                <a:schemeClr val="tx1"/>
              </a:solidFill>
              <a:effectLst/>
              <a:latin typeface="+mn-lt"/>
              <a:ea typeface="+mn-ea"/>
              <a:cs typeface="+mn-cs"/>
            </a:rPr>
            <a:t>Soit le Projet Z l'a </a:t>
          </a:r>
          <a:r>
            <a:rPr lang="fr-FR" sz="1100" b="1">
              <a:solidFill>
                <a:schemeClr val="tx1"/>
              </a:solidFill>
              <a:effectLst/>
              <a:latin typeface="+mn-lt"/>
              <a:ea typeface="+mn-ea"/>
              <a:cs typeface="+mn-cs"/>
            </a:rPr>
            <a:t>accepté provisoirement</a:t>
          </a:r>
          <a:r>
            <a:rPr lang="fr-FR" sz="1100">
              <a:solidFill>
                <a:schemeClr val="tx1"/>
              </a:solidFill>
              <a:effectLst/>
              <a:latin typeface="+mn-lt"/>
              <a:ea typeface="+mn-ea"/>
              <a:cs typeface="+mn-cs"/>
            </a:rPr>
            <a:t>, puis l'a </a:t>
          </a:r>
          <a:r>
            <a:rPr lang="fr-FR" sz="1100" b="1">
              <a:solidFill>
                <a:schemeClr val="tx1"/>
              </a:solidFill>
              <a:effectLst/>
              <a:latin typeface="+mn-lt"/>
              <a:ea typeface="+mn-ea"/>
              <a:cs typeface="+mn-cs"/>
            </a:rPr>
            <a:t>évincé plus tard</a:t>
          </a:r>
          <a:r>
            <a:rPr lang="fr-FR" sz="1100">
              <a:solidFill>
                <a:schemeClr val="tx1"/>
              </a:solidFill>
              <a:effectLst/>
              <a:latin typeface="+mn-lt"/>
              <a:ea typeface="+mn-ea"/>
              <a:cs typeface="+mn-cs"/>
            </a:rPr>
            <a:t> pour un autre élève qu'il jugeait encore meilleur.</a:t>
          </a:r>
        </a:p>
        <a:p>
          <a:pPr rtl="0"/>
          <a:r>
            <a:rPr lang="fr-FR" sz="1100">
              <a:solidFill>
                <a:schemeClr val="tx1"/>
              </a:solidFill>
              <a:effectLst/>
              <a:latin typeface="+mn-lt"/>
              <a:ea typeface="+mn-ea"/>
              <a:cs typeface="+mn-cs"/>
            </a:rPr>
            <a:t>Dans les deux cas, cela signifie que le Projet Z a terminé avec une équipe d'élèves qu'il </a:t>
          </a:r>
          <a:r>
            <a:rPr lang="fr-FR" sz="1100" b="1">
              <a:solidFill>
                <a:schemeClr val="tx1"/>
              </a:solidFill>
              <a:effectLst/>
              <a:latin typeface="+mn-lt"/>
              <a:ea typeface="+mn-ea"/>
              <a:cs typeface="+mn-cs"/>
            </a:rPr>
            <a:t>préfère tous à Alex</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Ceci est une </a:t>
          </a:r>
          <a:r>
            <a:rPr lang="fr-FR" sz="1100" b="1">
              <a:solidFill>
                <a:schemeClr val="tx1"/>
              </a:solidFill>
              <a:effectLst/>
              <a:latin typeface="+mn-lt"/>
              <a:ea typeface="+mn-ea"/>
              <a:cs typeface="+mn-cs"/>
            </a:rPr>
            <a:t>contradiction</a:t>
          </a:r>
          <a:r>
            <a:rPr lang="fr-FR" sz="1100">
              <a:solidFill>
                <a:schemeClr val="tx1"/>
              </a:solidFill>
              <a:effectLst/>
              <a:latin typeface="+mn-lt"/>
              <a:ea typeface="+mn-ea"/>
              <a:cs typeface="+mn-cs"/>
            </a:rPr>
            <a:t> avec notre hypothèse de départ qui disait que le Projet Z préférait Alex à l'un de ses élèves finaux.</a:t>
          </a:r>
        </a:p>
        <a:p>
          <a:pPr rtl="0"/>
          <a:r>
            <a:rPr lang="fr-FR" sz="1100">
              <a:solidFill>
                <a:schemeClr val="tx1"/>
              </a:solidFill>
              <a:effectLst/>
              <a:latin typeface="+mn-lt"/>
              <a:ea typeface="+mn-ea"/>
              <a:cs typeface="+mn-cs"/>
            </a:rPr>
            <a:t>Conclusion : l'hypothèse d'une affectation instable est impossible. Le résultat est donc toujours stable.</a:t>
          </a:r>
        </a:p>
        <a:p>
          <a:pPr rtl="0"/>
          <a:r>
            <a:rPr lang="fr-FR" sz="1100" b="1">
              <a:solidFill>
                <a:schemeClr val="tx1"/>
              </a:solidFill>
              <a:effectLst/>
              <a:latin typeface="+mn-lt"/>
              <a:ea typeface="+mn-ea"/>
              <a:cs typeface="+mn-cs"/>
            </a:rPr>
            <a:t>3. L'Optimalité et le "Biais" de l'Algorithme 🏆</a:t>
          </a:r>
        </a:p>
        <a:p>
          <a:pPr rtl="0"/>
          <a:r>
            <a:rPr lang="fr-FR" sz="1100">
              <a:solidFill>
                <a:schemeClr val="tx1"/>
              </a:solidFill>
              <a:effectLst/>
              <a:latin typeface="+mn-lt"/>
              <a:ea typeface="+mn-ea"/>
              <a:cs typeface="+mn-cs"/>
            </a:rPr>
            <a:t>La démonstration révèle aussi un "biais" fascinant : l'algorithme favorise systématiquement le groupe qui fait les propositions.</a:t>
          </a:r>
        </a:p>
        <a:p>
          <a:pPr rtl="0"/>
          <a:r>
            <a:rPr lang="fr-FR" sz="1100" b="1">
              <a:solidFill>
                <a:schemeClr val="tx1"/>
              </a:solidFill>
              <a:effectLst/>
              <a:latin typeface="+mn-lt"/>
              <a:ea typeface="+mn-ea"/>
              <a:cs typeface="+mn-cs"/>
            </a:rPr>
            <a:t>Optimal pour les élèves (ceux qui proposent) :</a:t>
          </a:r>
          <a:r>
            <a:rPr lang="fr-FR" sz="1100">
              <a:solidFill>
                <a:schemeClr val="tx1"/>
              </a:solidFill>
              <a:effectLst/>
              <a:latin typeface="+mn-lt"/>
              <a:ea typeface="+mn-ea"/>
              <a:cs typeface="+mn-cs"/>
            </a:rPr>
            <a:t> L'affectation obtenue est la </a:t>
          </a:r>
          <a:r>
            <a:rPr lang="fr-FR" sz="1100" b="1">
              <a:solidFill>
                <a:schemeClr val="tx1"/>
              </a:solidFill>
              <a:effectLst/>
              <a:latin typeface="+mn-lt"/>
              <a:ea typeface="+mn-ea"/>
              <a:cs typeface="+mn-cs"/>
            </a:rPr>
            <a:t>meilleure affectation stable possible</a:t>
          </a:r>
          <a:r>
            <a:rPr lang="fr-FR" sz="1100">
              <a:solidFill>
                <a:schemeClr val="tx1"/>
              </a:solidFill>
              <a:effectLst/>
              <a:latin typeface="+mn-lt"/>
              <a:ea typeface="+mn-ea"/>
              <a:cs typeface="+mn-cs"/>
            </a:rPr>
            <a:t> pour les élèves. Aucun élève ne pourrait obtenir un meilleur projet dans une </a:t>
          </a:r>
          <a:r>
            <a:rPr lang="fr-FR" sz="1100" i="1">
              <a:solidFill>
                <a:schemeClr val="tx1"/>
              </a:solidFill>
              <a:effectLst/>
              <a:latin typeface="+mn-lt"/>
              <a:ea typeface="+mn-ea"/>
              <a:cs typeface="+mn-cs"/>
            </a:rPr>
            <a:t>autre</a:t>
          </a:r>
          <a:r>
            <a:rPr lang="fr-FR" sz="1100">
              <a:solidFill>
                <a:schemeClr val="tx1"/>
              </a:solidFill>
              <a:effectLst/>
              <a:latin typeface="+mn-lt"/>
              <a:ea typeface="+mn-ea"/>
              <a:cs typeface="+mn-cs"/>
            </a:rPr>
            <a:t> affectation qui serait également stable.</a:t>
          </a:r>
        </a:p>
        <a:p>
          <a:pPr rtl="0"/>
          <a:r>
            <a:rPr lang="fr-FR" sz="1100" b="1">
              <a:solidFill>
                <a:schemeClr val="tx1"/>
              </a:solidFill>
              <a:effectLst/>
              <a:latin typeface="+mn-lt"/>
              <a:ea typeface="+mn-ea"/>
              <a:cs typeface="+mn-cs"/>
            </a:rPr>
            <a:t>Sous optimal pour les projets (ceux qui reçoivent) :</a:t>
          </a:r>
          <a:r>
            <a:rPr lang="fr-FR" sz="1100">
              <a:solidFill>
                <a:schemeClr val="tx1"/>
              </a:solidFill>
              <a:effectLst/>
              <a:latin typeface="+mn-lt"/>
              <a:ea typeface="+mn-ea"/>
              <a:cs typeface="+mn-cs"/>
            </a:rPr>
            <a:t> Inversement, l'affectation obtenue est la </a:t>
          </a:r>
          <a:r>
            <a:rPr lang="fr-FR" sz="1100" b="1">
              <a:solidFill>
                <a:schemeClr val="tx1"/>
              </a:solidFill>
              <a:effectLst/>
              <a:latin typeface="+mn-lt"/>
              <a:ea typeface="+mn-ea"/>
              <a:cs typeface="+mn-cs"/>
            </a:rPr>
            <a:t>pire affectation stable possible</a:t>
          </a:r>
          <a:r>
            <a:rPr lang="fr-FR" sz="1100">
              <a:solidFill>
                <a:schemeClr val="tx1"/>
              </a:solidFill>
              <a:effectLst/>
              <a:latin typeface="+mn-lt"/>
              <a:ea typeface="+mn-ea"/>
              <a:cs typeface="+mn-cs"/>
            </a:rPr>
            <a:t> pour les projets.</a:t>
          </a:r>
        </a:p>
        <a:p>
          <a:pPr rtl="0"/>
          <a:r>
            <a:rPr lang="fr-FR" sz="1100">
              <a:solidFill>
                <a:schemeClr val="tx1"/>
              </a:solidFill>
              <a:effectLst/>
              <a:latin typeface="+mn-lt"/>
              <a:ea typeface="+mn-ea"/>
              <a:cs typeface="+mn-cs"/>
            </a:rPr>
            <a:t>Si les projets proposaient aux élèves, le résultat serait tout aussi stable, mais il serait optimal pour les projets et le pire possible pour les élèves.</a:t>
          </a: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r>
            <a:rPr lang="fr-FR" b="1"/>
            <a:t>La stabilité prime sur le remplissage minimum. Si un projet n'atteint pas sa capacité minimale, c'est parce qu'il n'y avait pas assez d'élèves intéressés et/ou bien classés pour le remplir de manière stable. La macro mettra en évidence ces cas en jaune pour que vous puissiez les traiter manuellement si nécessaire</a:t>
          </a:r>
          <a:r>
            <a:rPr lang="fr-FR"/>
            <a:t>.</a:t>
          </a:r>
        </a:p>
        <a:p>
          <a:endParaRPr lang="fr-FR" sz="1100"/>
        </a:p>
        <a:p>
          <a:r>
            <a:rPr lang="fr-FR" b="1"/>
            <a:t>Nombre de voeux par élève </a:t>
          </a:r>
        </a:p>
        <a:p>
          <a:r>
            <a:rPr lang="fr-FR"/>
            <a:t>On peut distinguer trois approches :</a:t>
          </a:r>
        </a:p>
        <a:p>
          <a:r>
            <a:rPr lang="fr-FR" b="1"/>
            <a:t>Le Minimum Vital (3 à 5 vœux) :</a:t>
          </a:r>
          <a:r>
            <a:rPr lang="fr-FR"/>
            <a:t> C'est une stratégie risquée, uniquement viable pour un élève qui est certain d'être très bien classé par les projets qu'il vise. S'il est rejeté de ses quelques choix, il se retrouvera sans affectation.</a:t>
          </a:r>
        </a:p>
        <a:p>
          <a:r>
            <a:rPr lang="fr-FR" b="1"/>
            <a:t>La Stratégie Équilibrée (8 à 15 vœux) :</a:t>
          </a:r>
          <a:r>
            <a:rPr lang="fr-FR"/>
            <a:t> C'est l'approche la plus recommandée. Elle permet à l'élève de lister :</a:t>
          </a:r>
        </a:p>
        <a:p>
          <a:pPr lvl="1"/>
          <a:r>
            <a:rPr lang="fr-FR"/>
            <a:t>Quelques </a:t>
          </a:r>
          <a:r>
            <a:rPr lang="fr-FR" b="1"/>
            <a:t>vœux de rêve</a:t>
          </a:r>
          <a:r>
            <a:rPr lang="fr-FR"/>
            <a:t> (ceux qu'il veut le plus, même s'ils sont très demandés).</a:t>
          </a:r>
        </a:p>
        <a:p>
          <a:pPr lvl="1"/>
          <a:r>
            <a:rPr lang="fr-FR"/>
            <a:t>Plusieurs </a:t>
          </a:r>
          <a:r>
            <a:rPr lang="fr-FR" b="1"/>
            <a:t>vœux réalistes</a:t>
          </a:r>
          <a:r>
            <a:rPr lang="fr-FR"/>
            <a:t> (ceux pour lesquels il a de bonnes chances).</a:t>
          </a:r>
        </a:p>
        <a:p>
          <a:pPr lvl="1"/>
          <a:r>
            <a:rPr lang="fr-FR"/>
            <a:t>Quelques </a:t>
          </a:r>
          <a:r>
            <a:rPr lang="fr-FR" b="1"/>
            <a:t>vœux de sécurité</a:t>
          </a:r>
          <a:r>
            <a:rPr lang="fr-FR"/>
            <a:t> (ceux qui l'intéressent moins mais où il est presque certain d'être accepté).</a:t>
          </a:r>
        </a:p>
        <a:p>
          <a:r>
            <a:rPr lang="fr-FR" b="1"/>
            <a:t>La Sécurité Maximale (Plus de 15 vœux) :</a:t>
          </a:r>
          <a:r>
            <a:rPr lang="fr-FR"/>
            <a:t> Dans un environnement très compétitif (beaucoup d'élèves pour peu de places), plus un élève fait de vœux, plus il se protège contre le risque de n'avoir aucune affectation.</a:t>
          </a:r>
        </a:p>
        <a:p>
          <a:r>
            <a:rPr lang="fr-FR" b="1"/>
            <a:t>Le Plus Important à Retenir</a:t>
          </a:r>
        </a:p>
        <a:p>
          <a:r>
            <a:rPr lang="fr-FR"/>
            <a:t>Plus que le nombre, c'est </a:t>
          </a:r>
          <a:r>
            <a:rPr lang="fr-FR" b="1"/>
            <a:t>l'ordre de vos vœux</a:t>
          </a:r>
          <a:r>
            <a:rPr lang="fr-FR"/>
            <a:t> qui est crucial.</a:t>
          </a:r>
        </a:p>
        <a:p>
          <a:r>
            <a:rPr lang="fr-FR"/>
            <a:t>L'algorithme est conçu pour vous obtenir le projet le plus haut placé possible dans votre liste. Il n'y a </a:t>
          </a:r>
          <a:r>
            <a:rPr lang="fr-FR" b="1"/>
            <a:t>aucun intérêt stratégique à ne pas mettre votre vrai premier choix en premier</a:t>
          </a:r>
          <a:r>
            <a:rPr lang="fr-FR"/>
            <a:t>, par peur qu'il soit trop sélectif. Si vous êtes rejeté de votre vœu n°1, l'algorithme essaiera automatiquement votre vœu n°2, puis le n°3, et ainsi de suite.</a:t>
          </a:r>
        </a:p>
        <a:p>
          <a:r>
            <a:rPr lang="fr-FR" b="1"/>
            <a:t>En résumé :</a:t>
          </a:r>
          <a:r>
            <a:rPr lang="fr-FR"/>
            <a:t> Faites une liste sincère de tous les projets qui vous intéressent, classés par ordre de préférence réelle. Une dizaine de vœux est souvent un bon équilibre</a:t>
          </a:r>
        </a:p>
        <a:p>
          <a:endParaRPr lang="fr-FR" sz="1100"/>
        </a:p>
      </xdr:txBody>
    </xdr:sp>
    <xdr:clientData/>
  </xdr:oneCellAnchor>
  <mc:AlternateContent xmlns:mc="http://schemas.openxmlformats.org/markup-compatibility/2006">
    <mc:Choice xmlns:a14="http://schemas.microsoft.com/office/drawing/2010/main" Requires="a14">
      <xdr:twoCellAnchor editAs="oneCell">
        <xdr:from>
          <xdr:col>1</xdr:col>
          <xdr:colOff>85725</xdr:colOff>
          <xdr:row>23</xdr:row>
          <xdr:rowOff>85725</xdr:rowOff>
        </xdr:from>
        <xdr:to>
          <xdr:col>1</xdr:col>
          <xdr:colOff>714375</xdr:colOff>
          <xdr:row>24</xdr:row>
          <xdr:rowOff>133350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CHECK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635000</xdr:colOff>
      <xdr:row>2</xdr:row>
      <xdr:rowOff>0</xdr:rowOff>
    </xdr:from>
    <xdr:to>
      <xdr:col>7</xdr:col>
      <xdr:colOff>381000</xdr:colOff>
      <xdr:row>18</xdr:row>
      <xdr:rowOff>127000</xdr:rowOff>
    </xdr:to>
    <xdr:graphicFrame macro="">
      <xdr:nvGraphicFramePr>
        <xdr:cNvPr id="5" name="Graphique 4">
          <a:extLst>
            <a:ext uri="{FF2B5EF4-FFF2-40B4-BE49-F238E27FC236}">
              <a16:creationId xmlns:a16="http://schemas.microsoft.com/office/drawing/2014/main" id="{388E00FC-6AB7-78EF-3CF8-E88CEF42BE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254000</xdr:colOff>
      <xdr:row>2</xdr:row>
      <xdr:rowOff>0</xdr:rowOff>
    </xdr:from>
    <xdr:to>
      <xdr:col>15</xdr:col>
      <xdr:colOff>0</xdr:colOff>
      <xdr:row>18</xdr:row>
      <xdr:rowOff>127000</xdr:rowOff>
    </xdr:to>
    <xdr:graphicFrame macro="">
      <xdr:nvGraphicFramePr>
        <xdr:cNvPr id="6" name="Graphique 5">
          <a:extLst>
            <a:ext uri="{FF2B5EF4-FFF2-40B4-BE49-F238E27FC236}">
              <a16:creationId xmlns:a16="http://schemas.microsoft.com/office/drawing/2014/main" id="{59316B00-29BB-C325-F21C-498AABEEEF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635000</xdr:colOff>
      <xdr:row>20</xdr:row>
      <xdr:rowOff>0</xdr:rowOff>
    </xdr:from>
    <xdr:to>
      <xdr:col>7</xdr:col>
      <xdr:colOff>381000</xdr:colOff>
      <xdr:row>36</xdr:row>
      <xdr:rowOff>127000</xdr:rowOff>
    </xdr:to>
    <xdr:graphicFrame macro="">
      <xdr:nvGraphicFramePr>
        <xdr:cNvPr id="7" name="Graphique 6">
          <a:extLst>
            <a:ext uri="{FF2B5EF4-FFF2-40B4-BE49-F238E27FC236}">
              <a16:creationId xmlns:a16="http://schemas.microsoft.com/office/drawing/2014/main" id="{34629816-3AA9-0566-23A3-3E8C6F414E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FARCY Valery" id="{28E4F208-FC44-4254-B10C-0E64386853ED}" userId="S::valery.farcy@esiea.fr::ee2783dc-ff10-4cc1-b85f-716107bd9b03" providerId="AD"/>
</personList>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D14" dT="2025-07-03T14:32:45.87" personId="{28E4F208-FC44-4254-B10C-0E64386853ED}" id="{25C3A222-D39A-45EC-9176-0812B503121E}">
    <text xml:space="preserve">Moyenne Satisfaction Élèves : La moyenne des rangs de vœu des élèves de l'équipe. Plus ce chiffre est bas, plus l'équipe est contente d'être là.
Écart-type Satis. Élèves : La dispersion de cette satisfaction.
Moyenne Qualité Équipe : La moyenne des rangs que le projet a donnés aux membres de son équipe. Plus ce chiffre est bas, plus le projet est content de son équipe.
Écart-type Qualité Équipe : La dispersion de cette "qualité".
Membres de l'équipe : La liste des élèves affectés.
</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omments" Target="../comments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co/gemini/share/2ccfcafd0a61" TargetMode="External"/><Relationship Id="rId1" Type="http://schemas.openxmlformats.org/officeDocument/2006/relationships/hyperlink" Target="https://gemini.google.com/app/b783535efbd61b74"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6FF7A-9346-4079-8FCE-A5BDEBA58BAB}">
  <sheetPr codeName="Feuil1"/>
  <dimension ref="A1:L24"/>
  <sheetViews>
    <sheetView showGridLines="0" tabSelected="1" topLeftCell="A10" zoomScale="145" zoomScaleNormal="145" workbookViewId="0">
      <selection activeCell="G17" sqref="G17"/>
    </sheetView>
  </sheetViews>
  <sheetFormatPr baseColWidth="10" defaultRowHeight="15" x14ac:dyDescent="0.25"/>
  <sheetData>
    <row r="1" spans="1:10" x14ac:dyDescent="0.25">
      <c r="A1" s="1" t="s">
        <v>29</v>
      </c>
    </row>
    <row r="3" spans="1:10" x14ac:dyDescent="0.25">
      <c r="H3" s="1" t="s">
        <v>28</v>
      </c>
      <c r="J3" s="1" t="s">
        <v>27</v>
      </c>
    </row>
    <row r="5" spans="1:10" x14ac:dyDescent="0.25">
      <c r="A5" s="3"/>
      <c r="B5" s="3"/>
      <c r="C5" s="3"/>
      <c r="D5" s="3"/>
      <c r="E5" s="3"/>
      <c r="F5" s="3"/>
      <c r="G5" s="3"/>
      <c r="H5" s="1" t="s">
        <v>26</v>
      </c>
      <c r="I5" s="3"/>
      <c r="J5" s="3"/>
    </row>
    <row r="7" spans="1:10" x14ac:dyDescent="0.25">
      <c r="H7" s="1" t="s">
        <v>65</v>
      </c>
      <c r="I7" s="1" t="s">
        <v>26</v>
      </c>
    </row>
    <row r="11" spans="1:10" x14ac:dyDescent="0.25">
      <c r="H11" s="1" t="s">
        <v>66</v>
      </c>
      <c r="J11" s="3"/>
    </row>
    <row r="12" spans="1:10" x14ac:dyDescent="0.25">
      <c r="H12" s="1"/>
    </row>
    <row r="13" spans="1:10" x14ac:dyDescent="0.25">
      <c r="H13" s="1"/>
    </row>
    <row r="14" spans="1:10" x14ac:dyDescent="0.25">
      <c r="H14" s="1" t="s">
        <v>30</v>
      </c>
    </row>
    <row r="15" spans="1:10" x14ac:dyDescent="0.25">
      <c r="H15" s="1"/>
    </row>
    <row r="17" spans="1:12" x14ac:dyDescent="0.25">
      <c r="A17" t="s">
        <v>7</v>
      </c>
    </row>
    <row r="18" spans="1:12" x14ac:dyDescent="0.25">
      <c r="A18" s="1" t="s">
        <v>6</v>
      </c>
    </row>
    <row r="21" spans="1:12" x14ac:dyDescent="0.25">
      <c r="H21" s="1" t="s">
        <v>64</v>
      </c>
      <c r="J21" s="1" t="s">
        <v>72</v>
      </c>
      <c r="L21" s="1" t="s">
        <v>103</v>
      </c>
    </row>
    <row r="24" spans="1:12" x14ac:dyDescent="0.25">
      <c r="H24" s="1" t="s">
        <v>79</v>
      </c>
    </row>
  </sheetData>
  <hyperlinks>
    <hyperlink ref="A18" r:id="rId1" xr:uid="{418D23C3-6EE9-4A74-A591-03DABAF68657}"/>
    <hyperlink ref="H3" location="Préférences_Élèves!A1" display="Préférences_Élèves!A1" xr:uid="{FA669134-C213-46A1-BCDB-C4CB229E568D}"/>
    <hyperlink ref="J3" location="Préférences_Projets!A1" display="Préférences_Projets!A1" xr:uid="{E4A86696-A6FD-461F-9142-51B5A2248E9C}"/>
    <hyperlink ref="H5" location="Résultats!A1" display="Résultats!A1" xr:uid="{45375DAA-457F-42A7-9343-C83C8784216F}"/>
    <hyperlink ref="H7" location="Log_Affectation!A1" display="Log_Affectation!A1" xr:uid="{57497C0C-48A8-41EE-90F6-CB0F6EC1E588}"/>
    <hyperlink ref="H11" location="Rapport_Satisfaction!A1" display="Rapport_Satisfaction!A1" xr:uid="{1F451973-3D70-4D66-B414-C3D58B4E0919}"/>
    <hyperlink ref="H14" location="Affectations_par_Projet!A1" display="Affectations_par_Projet!A1" xr:uid="{B7F263D5-BB5B-4F54-A6FA-D5A474991B0D}"/>
    <hyperlink ref="A1" r:id="rId2" xr:uid="{EFD4D25E-74BF-4322-8A9F-BE0A1F0A2C26}"/>
    <hyperlink ref="I7" location="Résultats!A1" display="Résultats!A1" xr:uid="{A74EB19B-83AB-452C-A5A4-C47060C5E937}"/>
    <hyperlink ref="H21" location="Bilan_Performance!A1" display="Bilan_Performance!A1" xr:uid="{9654CA06-38A4-4EEB-A27E-D3162A2C1CE4}"/>
    <hyperlink ref="J21" location="Details_Suivi!A1" display="Details_Suivi!A1" xr:uid="{4AFC283B-A689-4E74-8E08-283F2895EB7B}"/>
    <hyperlink ref="H24" location="Verification_Finale!A1" display="Verification_Finale!A1" xr:uid="{F5AA5B1F-94A6-4116-BF69-D6FA2A592857}"/>
    <hyperlink ref="L21" location="Dashboard!A1" display="Dashboard!A1" xr:uid="{B898F39F-125D-4BA1-8793-F60D59DFC3B5}"/>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32" r:id="rId6" name="Button 8">
              <controlPr defaultSize="0" print="0" autoFill="0" autoPict="0" macro="[0]!GenererDonneesDeTest">
                <anchor moveWithCells="1">
                  <from>
                    <xdr:col>0</xdr:col>
                    <xdr:colOff>228600</xdr:colOff>
                    <xdr:row>1</xdr:row>
                    <xdr:rowOff>123825</xdr:rowOff>
                  </from>
                  <to>
                    <xdr:col>4</xdr:col>
                    <xdr:colOff>590550</xdr:colOff>
                    <xdr:row>2</xdr:row>
                    <xdr:rowOff>171450</xdr:rowOff>
                  </to>
                </anchor>
              </controlPr>
            </control>
          </mc:Choice>
        </mc:AlternateContent>
        <mc:AlternateContent xmlns:mc="http://schemas.openxmlformats.org/markup-compatibility/2006">
          <mc:Choice Requires="x14">
            <control shapeId="1036" r:id="rId7" name="Button 12">
              <controlPr defaultSize="0" print="0" autoFill="0" autoPict="0" macro="[0]!AffectationElevesProjets">
                <anchor moveWithCells="1">
                  <from>
                    <xdr:col>0</xdr:col>
                    <xdr:colOff>323850</xdr:colOff>
                    <xdr:row>4</xdr:row>
                    <xdr:rowOff>38100</xdr:rowOff>
                  </from>
                  <to>
                    <xdr:col>2</xdr:col>
                    <xdr:colOff>742950</xdr:colOff>
                    <xdr:row>5</xdr:row>
                    <xdr:rowOff>85725</xdr:rowOff>
                  </to>
                </anchor>
              </controlPr>
            </control>
          </mc:Choice>
        </mc:AlternateContent>
        <mc:AlternateContent xmlns:mc="http://schemas.openxmlformats.org/markup-compatibility/2006">
          <mc:Choice Requires="x14">
            <control shapeId="1038" r:id="rId8" name="Button 14">
              <controlPr defaultSize="0" print="0" autoFill="0" autoPict="0" macro="[0]!CreerRapportSatisfaction">
                <anchor moveWithCells="1">
                  <from>
                    <xdr:col>0</xdr:col>
                    <xdr:colOff>409575</xdr:colOff>
                    <xdr:row>9</xdr:row>
                    <xdr:rowOff>133350</xdr:rowOff>
                  </from>
                  <to>
                    <xdr:col>3</xdr:col>
                    <xdr:colOff>104775</xdr:colOff>
                    <xdr:row>10</xdr:row>
                    <xdr:rowOff>180975</xdr:rowOff>
                  </to>
                </anchor>
              </controlPr>
            </control>
          </mc:Choice>
        </mc:AlternateContent>
        <mc:AlternateContent xmlns:mc="http://schemas.openxmlformats.org/markup-compatibility/2006">
          <mc:Choice Requires="x14">
            <control shapeId="1039" r:id="rId9" name="Button 15">
              <controlPr defaultSize="0" print="0" autoFill="0" autoPict="0" macro="[0]!AffectationPasAPas">
                <anchor moveWithCells="1">
                  <from>
                    <xdr:col>0</xdr:col>
                    <xdr:colOff>304800</xdr:colOff>
                    <xdr:row>6</xdr:row>
                    <xdr:rowOff>0</xdr:rowOff>
                  </from>
                  <to>
                    <xdr:col>3</xdr:col>
                    <xdr:colOff>495300</xdr:colOff>
                    <xdr:row>7</xdr:row>
                    <xdr:rowOff>47625</xdr:rowOff>
                  </to>
                </anchor>
              </controlPr>
            </control>
          </mc:Choice>
        </mc:AlternateContent>
        <mc:AlternateContent xmlns:mc="http://schemas.openxmlformats.org/markup-compatibility/2006">
          <mc:Choice Requires="x14">
            <control shapeId="1040" r:id="rId10" name="Button 16">
              <controlPr defaultSize="0" print="0" autoFill="0" autoPict="0" macro="[0]!CreerRapportProjets">
                <anchor moveWithCells="1">
                  <from>
                    <xdr:col>0</xdr:col>
                    <xdr:colOff>476250</xdr:colOff>
                    <xdr:row>12</xdr:row>
                    <xdr:rowOff>123825</xdr:rowOff>
                  </from>
                  <to>
                    <xdr:col>2</xdr:col>
                    <xdr:colOff>676275</xdr:colOff>
                    <xdr:row>13</xdr:row>
                    <xdr:rowOff>171450</xdr:rowOff>
                  </to>
                </anchor>
              </controlPr>
            </control>
          </mc:Choice>
        </mc:AlternateContent>
        <mc:AlternateContent xmlns:mc="http://schemas.openxmlformats.org/markup-compatibility/2006">
          <mc:Choice Requires="x14">
            <control shapeId="1041" r:id="rId11" name="Button 17">
              <controlPr defaultSize="0" print="0" autoFill="0" autoPict="0" macro="[0]!BilanPerformanceAlgorithme">
                <anchor moveWithCells="1">
                  <from>
                    <xdr:col>0</xdr:col>
                    <xdr:colOff>628650</xdr:colOff>
                    <xdr:row>19</xdr:row>
                    <xdr:rowOff>85725</xdr:rowOff>
                  </from>
                  <to>
                    <xdr:col>2</xdr:col>
                    <xdr:colOff>352425</xdr:colOff>
                    <xdr:row>20</xdr:row>
                    <xdr:rowOff>133350</xdr:rowOff>
                  </to>
                </anchor>
              </controlPr>
            </control>
          </mc:Choice>
        </mc:AlternateContent>
        <mc:AlternateContent xmlns:mc="http://schemas.openxmlformats.org/markup-compatibility/2006">
          <mc:Choice Requires="x14">
            <control shapeId="1043" r:id="rId12" name="Button 19">
              <controlPr defaultSize="0" print="0" autoFill="0" autoPict="0" macro="[0]!VerifierToutesLesDonnees">
                <anchor moveWithCells="1">
                  <from>
                    <xdr:col>1</xdr:col>
                    <xdr:colOff>85725</xdr:colOff>
                    <xdr:row>23</xdr:row>
                    <xdr:rowOff>85725</xdr:rowOff>
                  </from>
                  <to>
                    <xdr:col>1</xdr:col>
                    <xdr:colOff>714375</xdr:colOff>
                    <xdr:row>24</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F4858-BBEF-4994-B5BE-B7C883BA4439}">
  <sheetPr codeName="Feuil2"/>
  <dimension ref="A1:G31"/>
  <sheetViews>
    <sheetView workbookViewId="0">
      <selection activeCell="F42" sqref="F42"/>
    </sheetView>
  </sheetViews>
  <sheetFormatPr baseColWidth="10" defaultRowHeight="15" x14ac:dyDescent="0.25"/>
  <cols>
    <col min="1" max="8" width="7.85546875" bestFit="1" customWidth="1"/>
    <col min="9" max="10" width="8.140625" bestFit="1" customWidth="1"/>
    <col min="11" max="31" width="8.7109375" bestFit="1" customWidth="1"/>
    <col min="32" max="33" width="8.85546875" bestFit="1" customWidth="1"/>
    <col min="34" max="35" width="8.7109375" bestFit="1" customWidth="1"/>
    <col min="36" max="38" width="8.85546875" bestFit="1" customWidth="1"/>
    <col min="39" max="39" width="8.7109375" bestFit="1" customWidth="1"/>
    <col min="40" max="44" width="8.85546875" bestFit="1" customWidth="1"/>
    <col min="45" max="45" width="8.7109375" bestFit="1" customWidth="1"/>
    <col min="46" max="47" width="8.85546875" bestFit="1" customWidth="1"/>
    <col min="48" max="48" width="8.7109375" bestFit="1" customWidth="1"/>
    <col min="49" max="50" width="8.85546875" bestFit="1" customWidth="1"/>
    <col min="51" max="52" width="8.7109375" bestFit="1" customWidth="1"/>
    <col min="53" max="55" width="8.85546875" bestFit="1" customWidth="1"/>
    <col min="56" max="57" width="8.7109375" bestFit="1" customWidth="1"/>
    <col min="58" max="58" width="8.85546875" bestFit="1" customWidth="1"/>
    <col min="59" max="59" width="8.7109375" bestFit="1" customWidth="1"/>
    <col min="60" max="64" width="8.85546875" bestFit="1" customWidth="1"/>
    <col min="65" max="65" width="8.7109375" bestFit="1" customWidth="1"/>
    <col min="66" max="68" width="8.85546875" bestFit="1" customWidth="1"/>
    <col min="69" max="69" width="8.7109375" bestFit="1" customWidth="1"/>
    <col min="70" max="74" width="8.85546875" bestFit="1" customWidth="1"/>
    <col min="75" max="76" width="8.7109375" bestFit="1" customWidth="1"/>
    <col min="77" max="78" width="8.85546875" bestFit="1" customWidth="1"/>
    <col min="79" max="80" width="8.7109375" bestFit="1" customWidth="1"/>
    <col min="81" max="81" width="8.85546875" bestFit="1" customWidth="1"/>
    <col min="82" max="82" width="8.7109375" bestFit="1" customWidth="1"/>
    <col min="83" max="88" width="8.85546875" bestFit="1" customWidth="1"/>
    <col min="89" max="89" width="8.7109375" bestFit="1" customWidth="1"/>
    <col min="90" max="91" width="8.85546875" bestFit="1" customWidth="1"/>
  </cols>
  <sheetData>
    <row r="1" spans="1:7" s="2" customFormat="1" x14ac:dyDescent="0.25">
      <c r="A1" s="2" t="s">
        <v>0</v>
      </c>
      <c r="B1" s="2" t="s">
        <v>1</v>
      </c>
      <c r="C1" s="2" t="s">
        <v>12</v>
      </c>
      <c r="D1" s="2" t="s">
        <v>61</v>
      </c>
      <c r="E1" s="2" t="s">
        <v>74</v>
      </c>
      <c r="F1" s="2" t="s">
        <v>101</v>
      </c>
      <c r="G1" s="2" t="s">
        <v>659</v>
      </c>
    </row>
    <row r="2" spans="1:7" x14ac:dyDescent="0.25">
      <c r="A2" t="s">
        <v>2</v>
      </c>
      <c r="B2" t="s">
        <v>98</v>
      </c>
      <c r="C2" t="s">
        <v>99</v>
      </c>
      <c r="D2" t="s">
        <v>3</v>
      </c>
      <c r="E2" t="s">
        <v>62</v>
      </c>
      <c r="F2" t="s">
        <v>13</v>
      </c>
      <c r="G2" t="s">
        <v>73</v>
      </c>
    </row>
    <row r="3" spans="1:7" x14ac:dyDescent="0.25">
      <c r="A3" t="s">
        <v>4</v>
      </c>
      <c r="B3" t="s">
        <v>73</v>
      </c>
      <c r="C3" t="s">
        <v>13</v>
      </c>
      <c r="D3" t="s">
        <v>98</v>
      </c>
      <c r="E3" t="s">
        <v>3</v>
      </c>
      <c r="F3" t="s">
        <v>62</v>
      </c>
      <c r="G3" t="s">
        <v>99</v>
      </c>
    </row>
    <row r="4" spans="1:7" x14ac:dyDescent="0.25">
      <c r="A4" t="s">
        <v>14</v>
      </c>
      <c r="B4" t="s">
        <v>62</v>
      </c>
      <c r="C4" t="s">
        <v>98</v>
      </c>
      <c r="D4" t="s">
        <v>73</v>
      </c>
      <c r="E4" t="s">
        <v>13</v>
      </c>
      <c r="F4" t="s">
        <v>99</v>
      </c>
      <c r="G4" t="s">
        <v>3</v>
      </c>
    </row>
    <row r="5" spans="1:7" x14ac:dyDescent="0.25">
      <c r="A5" t="s">
        <v>15</v>
      </c>
      <c r="B5" t="s">
        <v>3</v>
      </c>
      <c r="C5" t="s">
        <v>99</v>
      </c>
      <c r="D5" t="s">
        <v>98</v>
      </c>
      <c r="E5" t="s">
        <v>73</v>
      </c>
      <c r="F5" t="s">
        <v>62</v>
      </c>
      <c r="G5" t="s">
        <v>13</v>
      </c>
    </row>
    <row r="6" spans="1:7" x14ac:dyDescent="0.25">
      <c r="A6" t="s">
        <v>16</v>
      </c>
      <c r="B6" t="s">
        <v>62</v>
      </c>
      <c r="C6" t="s">
        <v>13</v>
      </c>
      <c r="D6" t="s">
        <v>99</v>
      </c>
      <c r="E6" t="s">
        <v>98</v>
      </c>
      <c r="F6" t="s">
        <v>73</v>
      </c>
      <c r="G6" t="s">
        <v>3</v>
      </c>
    </row>
    <row r="7" spans="1:7" x14ac:dyDescent="0.25">
      <c r="A7" t="s">
        <v>17</v>
      </c>
      <c r="B7" t="s">
        <v>13</v>
      </c>
      <c r="C7" t="s">
        <v>73</v>
      </c>
      <c r="D7" t="s">
        <v>3</v>
      </c>
      <c r="E7" t="s">
        <v>99</v>
      </c>
      <c r="F7" t="s">
        <v>98</v>
      </c>
      <c r="G7" t="s">
        <v>62</v>
      </c>
    </row>
    <row r="8" spans="1:7" x14ac:dyDescent="0.25">
      <c r="A8" t="s">
        <v>18</v>
      </c>
      <c r="B8" t="s">
        <v>98</v>
      </c>
      <c r="C8" t="s">
        <v>3</v>
      </c>
      <c r="D8" t="s">
        <v>62</v>
      </c>
      <c r="E8" t="s">
        <v>13</v>
      </c>
      <c r="F8" t="s">
        <v>73</v>
      </c>
      <c r="G8" t="s">
        <v>99</v>
      </c>
    </row>
    <row r="9" spans="1:7" x14ac:dyDescent="0.25">
      <c r="A9" t="s">
        <v>19</v>
      </c>
      <c r="B9" t="s">
        <v>73</v>
      </c>
      <c r="C9" t="s">
        <v>98</v>
      </c>
      <c r="D9" t="s">
        <v>99</v>
      </c>
      <c r="E9" t="s">
        <v>62</v>
      </c>
      <c r="F9" t="s">
        <v>13</v>
      </c>
      <c r="G9" t="s">
        <v>3</v>
      </c>
    </row>
    <row r="10" spans="1:7" x14ac:dyDescent="0.25">
      <c r="A10" t="s">
        <v>20</v>
      </c>
      <c r="B10" t="s">
        <v>99</v>
      </c>
      <c r="C10" t="s">
        <v>73</v>
      </c>
      <c r="D10" t="s">
        <v>3</v>
      </c>
      <c r="E10" t="s">
        <v>13</v>
      </c>
      <c r="F10" t="s">
        <v>98</v>
      </c>
      <c r="G10" t="s">
        <v>62</v>
      </c>
    </row>
    <row r="11" spans="1:7" x14ac:dyDescent="0.25">
      <c r="A11" t="s">
        <v>21</v>
      </c>
      <c r="B11" t="s">
        <v>13</v>
      </c>
      <c r="C11" t="s">
        <v>99</v>
      </c>
      <c r="D11" t="s">
        <v>98</v>
      </c>
      <c r="E11" t="s">
        <v>62</v>
      </c>
      <c r="F11" t="s">
        <v>73</v>
      </c>
      <c r="G11" t="s">
        <v>3</v>
      </c>
    </row>
    <row r="12" spans="1:7" x14ac:dyDescent="0.25">
      <c r="A12" t="s">
        <v>80</v>
      </c>
      <c r="B12" t="s">
        <v>99</v>
      </c>
      <c r="C12" t="s">
        <v>62</v>
      </c>
      <c r="D12" t="s">
        <v>73</v>
      </c>
      <c r="E12" t="s">
        <v>98</v>
      </c>
      <c r="F12" t="s">
        <v>3</v>
      </c>
      <c r="G12" t="s">
        <v>13</v>
      </c>
    </row>
    <row r="13" spans="1:7" x14ac:dyDescent="0.25">
      <c r="A13" t="s">
        <v>81</v>
      </c>
      <c r="B13" t="s">
        <v>13</v>
      </c>
      <c r="C13" t="s">
        <v>98</v>
      </c>
      <c r="D13" t="s">
        <v>62</v>
      </c>
      <c r="E13" t="s">
        <v>99</v>
      </c>
      <c r="F13" t="s">
        <v>73</v>
      </c>
      <c r="G13" t="s">
        <v>3</v>
      </c>
    </row>
    <row r="14" spans="1:7" x14ac:dyDescent="0.25">
      <c r="A14" t="s">
        <v>82</v>
      </c>
      <c r="B14" t="s">
        <v>3</v>
      </c>
      <c r="C14" t="s">
        <v>73</v>
      </c>
      <c r="D14" t="s">
        <v>99</v>
      </c>
      <c r="E14" t="s">
        <v>13</v>
      </c>
      <c r="F14" t="s">
        <v>62</v>
      </c>
      <c r="G14" t="s">
        <v>98</v>
      </c>
    </row>
    <row r="15" spans="1:7" x14ac:dyDescent="0.25">
      <c r="A15" t="s">
        <v>83</v>
      </c>
      <c r="B15" t="s">
        <v>62</v>
      </c>
      <c r="C15" t="s">
        <v>99</v>
      </c>
      <c r="D15" t="s">
        <v>98</v>
      </c>
      <c r="E15" t="s">
        <v>3</v>
      </c>
      <c r="F15" t="s">
        <v>73</v>
      </c>
      <c r="G15" t="s">
        <v>13</v>
      </c>
    </row>
    <row r="16" spans="1:7" x14ac:dyDescent="0.25">
      <c r="A16" t="s">
        <v>84</v>
      </c>
      <c r="B16" t="s">
        <v>99</v>
      </c>
      <c r="C16" t="s">
        <v>13</v>
      </c>
      <c r="D16" t="s">
        <v>62</v>
      </c>
      <c r="E16" t="s">
        <v>98</v>
      </c>
      <c r="F16" t="s">
        <v>3</v>
      </c>
      <c r="G16" t="s">
        <v>73</v>
      </c>
    </row>
    <row r="17" spans="1:7" x14ac:dyDescent="0.25">
      <c r="A17" t="s">
        <v>85</v>
      </c>
      <c r="B17" t="s">
        <v>73</v>
      </c>
      <c r="C17" t="s">
        <v>98</v>
      </c>
      <c r="D17" t="s">
        <v>3</v>
      </c>
      <c r="E17" t="s">
        <v>62</v>
      </c>
      <c r="F17" t="s">
        <v>99</v>
      </c>
      <c r="G17" t="s">
        <v>13</v>
      </c>
    </row>
    <row r="18" spans="1:7" x14ac:dyDescent="0.25">
      <c r="A18" t="s">
        <v>86</v>
      </c>
      <c r="B18" t="s">
        <v>98</v>
      </c>
      <c r="C18" t="s">
        <v>99</v>
      </c>
      <c r="D18" t="s">
        <v>62</v>
      </c>
      <c r="E18" t="s">
        <v>73</v>
      </c>
      <c r="F18" t="s">
        <v>13</v>
      </c>
      <c r="G18" t="s">
        <v>3</v>
      </c>
    </row>
    <row r="19" spans="1:7" x14ac:dyDescent="0.25">
      <c r="A19" t="s">
        <v>87</v>
      </c>
      <c r="B19" t="s">
        <v>13</v>
      </c>
      <c r="C19" t="s">
        <v>73</v>
      </c>
      <c r="D19" t="s">
        <v>98</v>
      </c>
      <c r="E19" t="s">
        <v>3</v>
      </c>
      <c r="F19" t="s">
        <v>99</v>
      </c>
      <c r="G19" t="s">
        <v>62</v>
      </c>
    </row>
    <row r="20" spans="1:7" x14ac:dyDescent="0.25">
      <c r="A20" t="s">
        <v>88</v>
      </c>
      <c r="B20" t="s">
        <v>98</v>
      </c>
      <c r="C20" t="s">
        <v>3</v>
      </c>
      <c r="D20" t="s">
        <v>99</v>
      </c>
      <c r="E20" t="s">
        <v>13</v>
      </c>
      <c r="F20" t="s">
        <v>62</v>
      </c>
      <c r="G20" t="s">
        <v>73</v>
      </c>
    </row>
    <row r="21" spans="1:7" x14ac:dyDescent="0.25">
      <c r="A21" t="s">
        <v>89</v>
      </c>
      <c r="B21" t="s">
        <v>99</v>
      </c>
      <c r="C21" t="s">
        <v>13</v>
      </c>
      <c r="D21" t="s">
        <v>73</v>
      </c>
      <c r="E21" t="s">
        <v>98</v>
      </c>
      <c r="F21" t="s">
        <v>3</v>
      </c>
      <c r="G21" t="s">
        <v>62</v>
      </c>
    </row>
    <row r="22" spans="1:7" x14ac:dyDescent="0.25">
      <c r="A22" t="s">
        <v>90</v>
      </c>
      <c r="B22" t="s">
        <v>13</v>
      </c>
      <c r="C22" t="s">
        <v>3</v>
      </c>
      <c r="D22" t="s">
        <v>98</v>
      </c>
      <c r="E22" t="s">
        <v>99</v>
      </c>
      <c r="F22" t="s">
        <v>62</v>
      </c>
      <c r="G22" t="s">
        <v>73</v>
      </c>
    </row>
    <row r="23" spans="1:7" x14ac:dyDescent="0.25">
      <c r="A23" t="s">
        <v>91</v>
      </c>
      <c r="B23" t="s">
        <v>62</v>
      </c>
      <c r="C23" t="s">
        <v>13</v>
      </c>
      <c r="D23" t="s">
        <v>73</v>
      </c>
      <c r="E23" t="s">
        <v>98</v>
      </c>
      <c r="F23" t="s">
        <v>99</v>
      </c>
      <c r="G23" t="s">
        <v>3</v>
      </c>
    </row>
    <row r="24" spans="1:7" x14ac:dyDescent="0.25">
      <c r="A24" t="s">
        <v>92</v>
      </c>
      <c r="B24" t="s">
        <v>3</v>
      </c>
      <c r="C24" t="s">
        <v>73</v>
      </c>
      <c r="D24" t="s">
        <v>99</v>
      </c>
      <c r="E24" t="s">
        <v>62</v>
      </c>
      <c r="F24" t="s">
        <v>98</v>
      </c>
      <c r="G24" t="s">
        <v>13</v>
      </c>
    </row>
    <row r="25" spans="1:7" x14ac:dyDescent="0.25">
      <c r="A25" t="s">
        <v>93</v>
      </c>
      <c r="B25" t="s">
        <v>99</v>
      </c>
      <c r="C25" t="s">
        <v>98</v>
      </c>
      <c r="D25" t="s">
        <v>62</v>
      </c>
      <c r="E25" t="s">
        <v>73</v>
      </c>
      <c r="F25" t="s">
        <v>13</v>
      </c>
      <c r="G25" t="s">
        <v>3</v>
      </c>
    </row>
    <row r="26" spans="1:7" x14ac:dyDescent="0.25">
      <c r="A26" t="s">
        <v>94</v>
      </c>
      <c r="B26" t="s">
        <v>73</v>
      </c>
      <c r="C26" t="s">
        <v>99</v>
      </c>
      <c r="D26" t="s">
        <v>3</v>
      </c>
      <c r="E26" t="s">
        <v>62</v>
      </c>
      <c r="F26" t="s">
        <v>98</v>
      </c>
      <c r="G26" t="s">
        <v>13</v>
      </c>
    </row>
    <row r="27" spans="1:7" x14ac:dyDescent="0.25">
      <c r="A27" t="s">
        <v>95</v>
      </c>
      <c r="B27" t="s">
        <v>3</v>
      </c>
      <c r="C27" t="s">
        <v>13</v>
      </c>
      <c r="D27" t="s">
        <v>99</v>
      </c>
      <c r="E27" t="s">
        <v>98</v>
      </c>
      <c r="F27" t="s">
        <v>73</v>
      </c>
      <c r="G27" t="s">
        <v>62</v>
      </c>
    </row>
    <row r="28" spans="1:7" x14ac:dyDescent="0.25">
      <c r="A28" t="s">
        <v>96</v>
      </c>
      <c r="B28" t="s">
        <v>62</v>
      </c>
      <c r="C28" t="s">
        <v>99</v>
      </c>
      <c r="D28" t="s">
        <v>73</v>
      </c>
      <c r="E28" t="s">
        <v>3</v>
      </c>
      <c r="F28" t="s">
        <v>98</v>
      </c>
      <c r="G28" t="s">
        <v>13</v>
      </c>
    </row>
    <row r="29" spans="1:7" x14ac:dyDescent="0.25">
      <c r="A29" t="s">
        <v>97</v>
      </c>
      <c r="B29" t="s">
        <v>98</v>
      </c>
      <c r="C29" t="s">
        <v>62</v>
      </c>
      <c r="D29" t="s">
        <v>99</v>
      </c>
      <c r="E29" t="s">
        <v>73</v>
      </c>
      <c r="F29" t="s">
        <v>13</v>
      </c>
      <c r="G29" t="s">
        <v>3</v>
      </c>
    </row>
    <row r="30" spans="1:7" x14ac:dyDescent="0.25">
      <c r="A30" t="s">
        <v>113</v>
      </c>
      <c r="B30" t="s">
        <v>13</v>
      </c>
      <c r="C30" t="s">
        <v>99</v>
      </c>
      <c r="D30" t="s">
        <v>73</v>
      </c>
      <c r="E30" t="s">
        <v>3</v>
      </c>
      <c r="F30" t="s">
        <v>62</v>
      </c>
      <c r="G30" t="s">
        <v>98</v>
      </c>
    </row>
    <row r="31" spans="1:7" x14ac:dyDescent="0.25">
      <c r="A31" t="s">
        <v>114</v>
      </c>
      <c r="B31" t="s">
        <v>62</v>
      </c>
      <c r="C31" t="s">
        <v>3</v>
      </c>
      <c r="D31" t="s">
        <v>13</v>
      </c>
      <c r="E31" t="s">
        <v>73</v>
      </c>
      <c r="F31" t="s">
        <v>98</v>
      </c>
      <c r="G31" t="s">
        <v>99</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92AC8-90A8-4517-A047-B84BDAFDFF06}">
  <sheetPr codeName="Feuil3"/>
  <dimension ref="A1:AG7"/>
  <sheetViews>
    <sheetView workbookViewId="0">
      <selection activeCell="M3" sqref="M3"/>
    </sheetView>
  </sheetViews>
  <sheetFormatPr baseColWidth="10" defaultRowHeight="15" x14ac:dyDescent="0.25"/>
  <cols>
    <col min="1" max="1" width="7.85546875" bestFit="1" customWidth="1"/>
    <col min="2" max="2" width="4.28515625" bestFit="1" customWidth="1"/>
    <col min="3" max="3" width="4.5703125" bestFit="1" customWidth="1"/>
    <col min="4" max="12" width="7.42578125" bestFit="1" customWidth="1"/>
    <col min="13" max="102" width="8.42578125" bestFit="1" customWidth="1"/>
    <col min="103" max="103" width="9.42578125" bestFit="1" customWidth="1"/>
  </cols>
  <sheetData>
    <row r="1" spans="1:33" s="2" customFormat="1" x14ac:dyDescent="0.25">
      <c r="A1" s="2" t="s">
        <v>5</v>
      </c>
      <c r="B1" s="2" t="s">
        <v>10</v>
      </c>
      <c r="C1" s="2" t="s">
        <v>11</v>
      </c>
      <c r="D1" s="2" t="s">
        <v>2</v>
      </c>
      <c r="E1" s="2" t="s">
        <v>4</v>
      </c>
      <c r="F1" s="2" t="s">
        <v>14</v>
      </c>
      <c r="G1" s="2" t="s">
        <v>15</v>
      </c>
      <c r="H1" s="2" t="s">
        <v>16</v>
      </c>
      <c r="I1" s="2" t="s">
        <v>17</v>
      </c>
      <c r="J1" s="2" t="s">
        <v>18</v>
      </c>
      <c r="K1" s="2" t="s">
        <v>19</v>
      </c>
      <c r="L1" s="2" t="s">
        <v>20</v>
      </c>
      <c r="M1" s="2" t="s">
        <v>21</v>
      </c>
      <c r="N1" s="2" t="s">
        <v>80</v>
      </c>
      <c r="O1" s="2" t="s">
        <v>81</v>
      </c>
      <c r="P1" s="2" t="s">
        <v>82</v>
      </c>
      <c r="Q1" s="2" t="s">
        <v>83</v>
      </c>
      <c r="R1" s="2" t="s">
        <v>84</v>
      </c>
      <c r="S1" s="2" t="s">
        <v>85</v>
      </c>
      <c r="T1" s="2" t="s">
        <v>86</v>
      </c>
      <c r="U1" s="2" t="s">
        <v>87</v>
      </c>
      <c r="V1" s="2" t="s">
        <v>88</v>
      </c>
      <c r="W1" s="2" t="s">
        <v>89</v>
      </c>
      <c r="X1" s="2" t="s">
        <v>90</v>
      </c>
      <c r="Y1" s="2" t="s">
        <v>91</v>
      </c>
      <c r="Z1" s="2" t="s">
        <v>92</v>
      </c>
      <c r="AA1" s="2" t="s">
        <v>93</v>
      </c>
      <c r="AB1" s="2" t="s">
        <v>94</v>
      </c>
      <c r="AC1" s="2" t="s">
        <v>95</v>
      </c>
      <c r="AD1" s="2" t="s">
        <v>96</v>
      </c>
      <c r="AE1" s="2" t="s">
        <v>97</v>
      </c>
      <c r="AF1" s="2" t="s">
        <v>113</v>
      </c>
      <c r="AG1" s="2" t="s">
        <v>114</v>
      </c>
    </row>
    <row r="2" spans="1:33" x14ac:dyDescent="0.25">
      <c r="A2" t="s">
        <v>3</v>
      </c>
      <c r="B2">
        <v>1</v>
      </c>
      <c r="C2">
        <v>4</v>
      </c>
      <c r="D2">
        <v>10</v>
      </c>
      <c r="E2">
        <v>27</v>
      </c>
      <c r="F2">
        <v>26</v>
      </c>
      <c r="G2">
        <v>29</v>
      </c>
      <c r="H2">
        <v>17</v>
      </c>
      <c r="I2">
        <v>14</v>
      </c>
      <c r="J2">
        <v>6</v>
      </c>
      <c r="K2">
        <v>16</v>
      </c>
      <c r="L2">
        <v>8</v>
      </c>
      <c r="M2">
        <v>13</v>
      </c>
      <c r="N2">
        <v>23</v>
      </c>
      <c r="O2">
        <v>9</v>
      </c>
      <c r="P2">
        <v>5</v>
      </c>
      <c r="Q2">
        <v>1</v>
      </c>
      <c r="R2">
        <v>24</v>
      </c>
      <c r="S2">
        <v>3</v>
      </c>
      <c r="T2">
        <v>11</v>
      </c>
      <c r="U2">
        <v>30</v>
      </c>
      <c r="V2">
        <v>21</v>
      </c>
      <c r="W2">
        <v>18</v>
      </c>
      <c r="X2">
        <v>25</v>
      </c>
      <c r="Y2">
        <v>2</v>
      </c>
      <c r="Z2">
        <v>12</v>
      </c>
      <c r="AA2">
        <v>19</v>
      </c>
      <c r="AB2">
        <v>4</v>
      </c>
      <c r="AC2">
        <v>28</v>
      </c>
      <c r="AD2">
        <v>15</v>
      </c>
      <c r="AE2">
        <v>22</v>
      </c>
      <c r="AF2">
        <v>20</v>
      </c>
      <c r="AG2">
        <v>7</v>
      </c>
    </row>
    <row r="3" spans="1:33" x14ac:dyDescent="0.25">
      <c r="A3" t="s">
        <v>13</v>
      </c>
      <c r="B3">
        <v>3</v>
      </c>
      <c r="C3">
        <v>8</v>
      </c>
      <c r="D3">
        <v>9</v>
      </c>
      <c r="E3">
        <v>27</v>
      </c>
      <c r="F3">
        <v>21</v>
      </c>
      <c r="G3">
        <v>22</v>
      </c>
      <c r="H3">
        <v>16</v>
      </c>
      <c r="I3">
        <v>3</v>
      </c>
      <c r="J3">
        <v>23</v>
      </c>
      <c r="K3">
        <v>24</v>
      </c>
      <c r="L3">
        <v>11</v>
      </c>
      <c r="M3">
        <v>12</v>
      </c>
      <c r="N3">
        <v>6</v>
      </c>
      <c r="O3">
        <v>25</v>
      </c>
      <c r="P3">
        <v>28</v>
      </c>
      <c r="Q3">
        <v>17</v>
      </c>
      <c r="R3">
        <v>5</v>
      </c>
      <c r="S3">
        <v>1</v>
      </c>
      <c r="T3">
        <v>13</v>
      </c>
      <c r="U3">
        <v>20</v>
      </c>
      <c r="V3">
        <v>7</v>
      </c>
      <c r="W3">
        <v>15</v>
      </c>
      <c r="X3">
        <v>4</v>
      </c>
      <c r="Y3">
        <v>29</v>
      </c>
      <c r="Z3">
        <v>8</v>
      </c>
      <c r="AA3">
        <v>14</v>
      </c>
      <c r="AB3">
        <v>18</v>
      </c>
      <c r="AC3">
        <v>10</v>
      </c>
      <c r="AD3">
        <v>30</v>
      </c>
      <c r="AE3">
        <v>26</v>
      </c>
      <c r="AF3">
        <v>2</v>
      </c>
      <c r="AG3">
        <v>19</v>
      </c>
    </row>
    <row r="4" spans="1:33" x14ac:dyDescent="0.25">
      <c r="A4" t="s">
        <v>62</v>
      </c>
      <c r="B4">
        <v>2</v>
      </c>
      <c r="C4">
        <v>3</v>
      </c>
      <c r="D4">
        <v>27</v>
      </c>
      <c r="E4">
        <v>13</v>
      </c>
      <c r="F4">
        <v>29</v>
      </c>
      <c r="G4">
        <v>15</v>
      </c>
      <c r="H4">
        <v>10</v>
      </c>
      <c r="I4">
        <v>11</v>
      </c>
      <c r="J4">
        <v>21</v>
      </c>
      <c r="K4">
        <v>9</v>
      </c>
      <c r="L4">
        <v>6</v>
      </c>
      <c r="M4">
        <v>22</v>
      </c>
      <c r="N4">
        <v>16</v>
      </c>
      <c r="O4">
        <v>8</v>
      </c>
      <c r="P4">
        <v>5</v>
      </c>
      <c r="Q4">
        <v>3</v>
      </c>
      <c r="R4">
        <v>17</v>
      </c>
      <c r="S4">
        <v>18</v>
      </c>
      <c r="T4">
        <v>14</v>
      </c>
      <c r="U4">
        <v>25</v>
      </c>
      <c r="V4">
        <v>28</v>
      </c>
      <c r="W4">
        <v>26</v>
      </c>
      <c r="X4">
        <v>2</v>
      </c>
      <c r="Y4">
        <v>23</v>
      </c>
      <c r="Z4">
        <v>12</v>
      </c>
      <c r="AA4">
        <v>4</v>
      </c>
      <c r="AB4">
        <v>30</v>
      </c>
      <c r="AC4">
        <v>1</v>
      </c>
      <c r="AD4">
        <v>24</v>
      </c>
      <c r="AE4">
        <v>20</v>
      </c>
      <c r="AF4">
        <v>7</v>
      </c>
      <c r="AG4">
        <v>19</v>
      </c>
    </row>
    <row r="5" spans="1:33" x14ac:dyDescent="0.25">
      <c r="A5" t="s">
        <v>73</v>
      </c>
      <c r="B5">
        <v>1</v>
      </c>
      <c r="C5">
        <v>1</v>
      </c>
      <c r="D5">
        <v>9</v>
      </c>
      <c r="E5">
        <v>8</v>
      </c>
      <c r="F5">
        <v>29</v>
      </c>
      <c r="G5">
        <v>12</v>
      </c>
      <c r="H5">
        <v>15</v>
      </c>
      <c r="I5">
        <v>1</v>
      </c>
      <c r="J5">
        <v>3</v>
      </c>
      <c r="K5">
        <v>16</v>
      </c>
      <c r="L5">
        <v>25</v>
      </c>
      <c r="M5">
        <v>4</v>
      </c>
      <c r="N5">
        <v>18</v>
      </c>
      <c r="O5">
        <v>19</v>
      </c>
      <c r="P5">
        <v>28</v>
      </c>
      <c r="Q5">
        <v>21</v>
      </c>
      <c r="R5">
        <v>7</v>
      </c>
      <c r="S5">
        <v>6</v>
      </c>
      <c r="T5">
        <v>10</v>
      </c>
      <c r="U5">
        <v>23</v>
      </c>
      <c r="V5">
        <v>27</v>
      </c>
      <c r="W5">
        <v>13</v>
      </c>
      <c r="X5">
        <v>2</v>
      </c>
      <c r="Y5">
        <v>17</v>
      </c>
      <c r="Z5">
        <v>14</v>
      </c>
      <c r="AA5">
        <v>22</v>
      </c>
      <c r="AB5">
        <v>30</v>
      </c>
      <c r="AC5">
        <v>20</v>
      </c>
      <c r="AD5">
        <v>11</v>
      </c>
      <c r="AE5">
        <v>24</v>
      </c>
      <c r="AF5">
        <v>26</v>
      </c>
      <c r="AG5">
        <v>5</v>
      </c>
    </row>
    <row r="6" spans="1:33" x14ac:dyDescent="0.25">
      <c r="A6" t="s">
        <v>98</v>
      </c>
      <c r="B6">
        <v>2</v>
      </c>
      <c r="C6">
        <v>6</v>
      </c>
      <c r="D6">
        <v>20</v>
      </c>
      <c r="E6">
        <v>12</v>
      </c>
      <c r="F6">
        <v>27</v>
      </c>
      <c r="G6">
        <v>8</v>
      </c>
      <c r="H6">
        <v>14</v>
      </c>
      <c r="I6">
        <v>17</v>
      </c>
      <c r="J6">
        <v>5</v>
      </c>
      <c r="K6">
        <v>25</v>
      </c>
      <c r="L6">
        <v>16</v>
      </c>
      <c r="M6">
        <v>13</v>
      </c>
      <c r="N6">
        <v>24</v>
      </c>
      <c r="O6">
        <v>9</v>
      </c>
      <c r="P6">
        <v>28</v>
      </c>
      <c r="Q6">
        <v>3</v>
      </c>
      <c r="R6">
        <v>7</v>
      </c>
      <c r="S6">
        <v>10</v>
      </c>
      <c r="T6">
        <v>4</v>
      </c>
      <c r="U6">
        <v>15</v>
      </c>
      <c r="V6">
        <v>6</v>
      </c>
      <c r="W6">
        <v>30</v>
      </c>
      <c r="X6">
        <v>22</v>
      </c>
      <c r="Y6">
        <v>2</v>
      </c>
      <c r="Z6">
        <v>11</v>
      </c>
      <c r="AA6">
        <v>21</v>
      </c>
      <c r="AB6">
        <v>23</v>
      </c>
      <c r="AC6">
        <v>1</v>
      </c>
      <c r="AD6">
        <v>19</v>
      </c>
      <c r="AE6">
        <v>26</v>
      </c>
      <c r="AF6">
        <v>18</v>
      </c>
      <c r="AG6">
        <v>29</v>
      </c>
    </row>
    <row r="7" spans="1:33" x14ac:dyDescent="0.25">
      <c r="A7" t="s">
        <v>99</v>
      </c>
      <c r="B7">
        <v>3</v>
      </c>
      <c r="C7">
        <v>7</v>
      </c>
      <c r="D7">
        <v>18</v>
      </c>
      <c r="E7">
        <v>14</v>
      </c>
      <c r="F7">
        <v>28</v>
      </c>
      <c r="G7">
        <v>11</v>
      </c>
      <c r="H7">
        <v>12</v>
      </c>
      <c r="I7">
        <v>21</v>
      </c>
      <c r="J7">
        <v>9</v>
      </c>
      <c r="K7">
        <v>23</v>
      </c>
      <c r="L7">
        <v>13</v>
      </c>
      <c r="M7">
        <v>20</v>
      </c>
      <c r="N7">
        <v>19</v>
      </c>
      <c r="O7">
        <v>10</v>
      </c>
      <c r="P7">
        <v>24</v>
      </c>
      <c r="Q7">
        <v>8</v>
      </c>
      <c r="R7">
        <v>29</v>
      </c>
      <c r="S7">
        <v>27</v>
      </c>
      <c r="T7">
        <v>22</v>
      </c>
      <c r="U7">
        <v>5</v>
      </c>
      <c r="V7">
        <v>16</v>
      </c>
      <c r="W7">
        <v>25</v>
      </c>
      <c r="X7">
        <v>7</v>
      </c>
      <c r="Y7">
        <v>6</v>
      </c>
      <c r="Z7">
        <v>4</v>
      </c>
      <c r="AA7">
        <v>30</v>
      </c>
      <c r="AB7">
        <v>17</v>
      </c>
      <c r="AC7">
        <v>2</v>
      </c>
      <c r="AD7">
        <v>15</v>
      </c>
      <c r="AE7">
        <v>1</v>
      </c>
      <c r="AF7">
        <v>3</v>
      </c>
      <c r="AG7">
        <v>26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BFFCE-1325-4841-A074-8705E3202537}">
  <sheetPr codeName="Feuil4"/>
  <dimension ref="A1:C8"/>
  <sheetViews>
    <sheetView workbookViewId="0">
      <selection activeCell="C2" sqref="C2"/>
    </sheetView>
  </sheetViews>
  <sheetFormatPr baseColWidth="10" defaultRowHeight="15" x14ac:dyDescent="0.25"/>
  <cols>
    <col min="1" max="1" width="7.85546875" bestFit="1" customWidth="1"/>
    <col min="2" max="2" width="15.28515625" bestFit="1" customWidth="1"/>
    <col min="3" max="3" width="14.85546875" bestFit="1" customWidth="1"/>
  </cols>
  <sheetData>
    <row r="1" spans="1:3" x14ac:dyDescent="0.25">
      <c r="A1" s="2" t="s">
        <v>5</v>
      </c>
      <c r="B1" s="2" t="s">
        <v>8</v>
      </c>
      <c r="C1" s="2" t="s">
        <v>9</v>
      </c>
    </row>
    <row r="2" spans="1:3" ht="45" x14ac:dyDescent="0.25">
      <c r="A2" t="s">
        <v>3</v>
      </c>
      <c r="B2" s="6" t="s">
        <v>660</v>
      </c>
      <c r="C2" s="9" t="s">
        <v>661</v>
      </c>
    </row>
    <row r="3" spans="1:3" ht="75" x14ac:dyDescent="0.25">
      <c r="A3" t="s">
        <v>13</v>
      </c>
      <c r="B3" s="6" t="s">
        <v>662</v>
      </c>
      <c r="C3" s="9" t="s">
        <v>663</v>
      </c>
    </row>
    <row r="4" spans="1:3" ht="30" x14ac:dyDescent="0.25">
      <c r="A4" t="s">
        <v>62</v>
      </c>
      <c r="B4" s="6" t="s">
        <v>664</v>
      </c>
      <c r="C4" s="9" t="s">
        <v>104</v>
      </c>
    </row>
    <row r="5" spans="1:3" x14ac:dyDescent="0.25">
      <c r="A5" t="s">
        <v>73</v>
      </c>
      <c r="B5" s="6" t="s">
        <v>4</v>
      </c>
      <c r="C5" s="9" t="s">
        <v>665</v>
      </c>
    </row>
    <row r="6" spans="1:3" ht="60" x14ac:dyDescent="0.25">
      <c r="A6" t="s">
        <v>98</v>
      </c>
      <c r="B6" s="6" t="s">
        <v>666</v>
      </c>
      <c r="C6" s="9" t="s">
        <v>116</v>
      </c>
    </row>
    <row r="7" spans="1:3" ht="75" x14ac:dyDescent="0.25">
      <c r="A7" t="s">
        <v>99</v>
      </c>
      <c r="B7" s="6" t="s">
        <v>667</v>
      </c>
      <c r="C7" s="9" t="s">
        <v>668</v>
      </c>
    </row>
    <row r="8" spans="1:3" x14ac:dyDescent="0.25">
      <c r="B8" s="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515FB-3917-4DFD-8F55-BBDE779C3615}">
  <sheetPr codeName="Feuil6"/>
  <dimension ref="A1:E212"/>
  <sheetViews>
    <sheetView zoomScale="85" zoomScaleNormal="85" workbookViewId="0">
      <selection activeCell="C1" sqref="C1:E34"/>
    </sheetView>
  </sheetViews>
  <sheetFormatPr baseColWidth="10" defaultRowHeight="15" x14ac:dyDescent="0.25"/>
  <cols>
    <col min="1" max="1" width="6.140625" bestFit="1" customWidth="1"/>
    <col min="2" max="2" width="40.42578125" bestFit="1" customWidth="1"/>
    <col min="3" max="3" width="71.85546875" bestFit="1" customWidth="1"/>
    <col min="4" max="4" width="56.42578125" bestFit="1" customWidth="1"/>
    <col min="5" max="5" width="255.7109375" bestFit="1" customWidth="1"/>
    <col min="6" max="6" width="7.7109375" bestFit="1" customWidth="1"/>
    <col min="7" max="7" width="8" bestFit="1" customWidth="1"/>
    <col min="8" max="8" width="8.140625" bestFit="1" customWidth="1"/>
    <col min="9" max="9" width="7.28515625" bestFit="1" customWidth="1"/>
    <col min="10" max="10" width="7.7109375" bestFit="1" customWidth="1"/>
    <col min="11" max="12" width="7.5703125" bestFit="1" customWidth="1"/>
    <col min="13" max="13" width="8" bestFit="1" customWidth="1"/>
    <col min="14" max="14" width="7.5703125" bestFit="1" customWidth="1"/>
    <col min="15" max="15" width="8" bestFit="1" customWidth="1"/>
    <col min="16" max="16" width="7.85546875" bestFit="1" customWidth="1"/>
    <col min="17" max="17" width="7.5703125" bestFit="1" customWidth="1"/>
    <col min="18" max="18" width="7.7109375" bestFit="1" customWidth="1"/>
    <col min="19" max="19" width="7.85546875" bestFit="1" customWidth="1"/>
    <col min="20" max="20" width="7.7109375" bestFit="1" customWidth="1"/>
    <col min="21" max="21" width="7.42578125" bestFit="1" customWidth="1"/>
  </cols>
  <sheetData>
    <row r="1" spans="1:5" x14ac:dyDescent="0.25">
      <c r="A1" s="2" t="s">
        <v>50</v>
      </c>
      <c r="B1" s="2" t="s">
        <v>51</v>
      </c>
      <c r="C1" s="2" t="s">
        <v>52</v>
      </c>
      <c r="D1" s="2" t="s">
        <v>53</v>
      </c>
      <c r="E1" s="2" t="s">
        <v>54</v>
      </c>
    </row>
    <row r="2" spans="1:5" x14ac:dyDescent="0.25">
      <c r="A2">
        <v>1</v>
      </c>
      <c r="B2" t="s">
        <v>117</v>
      </c>
      <c r="C2" t="s">
        <v>55</v>
      </c>
      <c r="D2" t="s">
        <v>118</v>
      </c>
      <c r="E2" t="s">
        <v>119</v>
      </c>
    </row>
    <row r="3" spans="1:5" x14ac:dyDescent="0.25">
      <c r="A3">
        <v>2</v>
      </c>
      <c r="B3" t="s">
        <v>120</v>
      </c>
      <c r="C3" t="s">
        <v>55</v>
      </c>
      <c r="D3" t="s">
        <v>121</v>
      </c>
      <c r="E3" t="s">
        <v>122</v>
      </c>
    </row>
    <row r="4" spans="1:5" x14ac:dyDescent="0.25">
      <c r="A4">
        <v>3</v>
      </c>
      <c r="B4" t="s">
        <v>102</v>
      </c>
      <c r="C4" t="s">
        <v>55</v>
      </c>
      <c r="D4" t="s">
        <v>105</v>
      </c>
      <c r="E4" t="s">
        <v>123</v>
      </c>
    </row>
    <row r="5" spans="1:5" x14ac:dyDescent="0.25">
      <c r="A5">
        <v>4</v>
      </c>
      <c r="B5" t="s">
        <v>124</v>
      </c>
      <c r="C5" t="s">
        <v>55</v>
      </c>
      <c r="D5" t="s">
        <v>125</v>
      </c>
      <c r="E5" t="s">
        <v>126</v>
      </c>
    </row>
    <row r="6" spans="1:5" x14ac:dyDescent="0.25">
      <c r="A6">
        <v>5</v>
      </c>
      <c r="B6" t="s">
        <v>127</v>
      </c>
      <c r="C6" t="s">
        <v>55</v>
      </c>
      <c r="D6" t="s">
        <v>128</v>
      </c>
      <c r="E6" t="s">
        <v>129</v>
      </c>
    </row>
    <row r="7" spans="1:5" x14ac:dyDescent="0.25">
      <c r="A7">
        <v>6</v>
      </c>
      <c r="B7" t="s">
        <v>130</v>
      </c>
      <c r="C7" t="s">
        <v>55</v>
      </c>
      <c r="D7" t="s">
        <v>131</v>
      </c>
      <c r="E7" t="s">
        <v>132</v>
      </c>
    </row>
    <row r="8" spans="1:5" x14ac:dyDescent="0.25">
      <c r="A8">
        <v>7</v>
      </c>
      <c r="B8" t="s">
        <v>133</v>
      </c>
      <c r="C8" t="s">
        <v>55</v>
      </c>
      <c r="D8" t="s">
        <v>134</v>
      </c>
      <c r="E8" t="s">
        <v>135</v>
      </c>
    </row>
    <row r="9" spans="1:5" x14ac:dyDescent="0.25">
      <c r="A9">
        <v>8</v>
      </c>
      <c r="B9" t="s">
        <v>106</v>
      </c>
      <c r="C9" t="s">
        <v>55</v>
      </c>
      <c r="D9" t="s">
        <v>136</v>
      </c>
      <c r="E9" t="s">
        <v>137</v>
      </c>
    </row>
    <row r="10" spans="1:5" x14ac:dyDescent="0.25">
      <c r="A10">
        <v>9</v>
      </c>
      <c r="B10" t="s">
        <v>138</v>
      </c>
      <c r="C10" t="s">
        <v>55</v>
      </c>
      <c r="D10" t="s">
        <v>139</v>
      </c>
      <c r="E10" t="s">
        <v>140</v>
      </c>
    </row>
    <row r="11" spans="1:5" x14ac:dyDescent="0.25">
      <c r="A11">
        <v>10</v>
      </c>
      <c r="B11" t="s">
        <v>141</v>
      </c>
      <c r="C11" t="s">
        <v>55</v>
      </c>
      <c r="D11" t="s">
        <v>142</v>
      </c>
      <c r="E11" t="s">
        <v>143</v>
      </c>
    </row>
    <row r="12" spans="1:5" x14ac:dyDescent="0.25">
      <c r="A12">
        <v>11</v>
      </c>
      <c r="B12" t="s">
        <v>107</v>
      </c>
      <c r="C12" t="s">
        <v>144</v>
      </c>
      <c r="D12" t="s">
        <v>108</v>
      </c>
      <c r="E12" t="s">
        <v>145</v>
      </c>
    </row>
    <row r="13" spans="1:5" x14ac:dyDescent="0.25">
      <c r="A13">
        <v>12</v>
      </c>
      <c r="B13" t="s">
        <v>146</v>
      </c>
      <c r="C13" t="s">
        <v>55</v>
      </c>
      <c r="D13" t="s">
        <v>147</v>
      </c>
      <c r="E13" t="s">
        <v>148</v>
      </c>
    </row>
    <row r="14" spans="1:5" x14ac:dyDescent="0.25">
      <c r="A14">
        <v>13</v>
      </c>
      <c r="B14" t="s">
        <v>149</v>
      </c>
      <c r="C14" t="s">
        <v>55</v>
      </c>
      <c r="D14" t="s">
        <v>150</v>
      </c>
      <c r="E14" t="s">
        <v>151</v>
      </c>
    </row>
    <row r="15" spans="1:5" x14ac:dyDescent="0.25">
      <c r="A15">
        <v>14</v>
      </c>
      <c r="B15" t="s">
        <v>152</v>
      </c>
      <c r="C15" t="s">
        <v>55</v>
      </c>
      <c r="D15" t="s">
        <v>153</v>
      </c>
      <c r="E15" t="s">
        <v>154</v>
      </c>
    </row>
    <row r="16" spans="1:5" x14ac:dyDescent="0.25">
      <c r="A16">
        <v>15</v>
      </c>
      <c r="B16" t="s">
        <v>155</v>
      </c>
      <c r="C16" t="s">
        <v>156</v>
      </c>
      <c r="D16" t="s">
        <v>157</v>
      </c>
      <c r="E16" t="s">
        <v>158</v>
      </c>
    </row>
    <row r="17" spans="1:5" x14ac:dyDescent="0.25">
      <c r="A17">
        <v>16</v>
      </c>
      <c r="B17" t="s">
        <v>159</v>
      </c>
      <c r="C17" t="s">
        <v>55</v>
      </c>
      <c r="D17" t="s">
        <v>160</v>
      </c>
      <c r="E17" t="s">
        <v>161</v>
      </c>
    </row>
    <row r="18" spans="1:5" x14ac:dyDescent="0.25">
      <c r="A18">
        <v>17</v>
      </c>
      <c r="B18" t="s">
        <v>110</v>
      </c>
      <c r="C18" t="s">
        <v>162</v>
      </c>
      <c r="D18" t="s">
        <v>153</v>
      </c>
      <c r="E18" t="s">
        <v>163</v>
      </c>
    </row>
    <row r="19" spans="1:5" x14ac:dyDescent="0.25">
      <c r="A19">
        <v>18</v>
      </c>
      <c r="B19" t="s">
        <v>164</v>
      </c>
      <c r="C19" t="s">
        <v>165</v>
      </c>
      <c r="D19" t="s">
        <v>157</v>
      </c>
      <c r="E19" t="s">
        <v>166</v>
      </c>
    </row>
    <row r="20" spans="1:5" x14ac:dyDescent="0.25">
      <c r="A20">
        <v>19</v>
      </c>
      <c r="B20" t="s">
        <v>167</v>
      </c>
      <c r="C20" t="s">
        <v>168</v>
      </c>
      <c r="D20" t="s">
        <v>153</v>
      </c>
      <c r="E20" t="s">
        <v>169</v>
      </c>
    </row>
    <row r="21" spans="1:5" x14ac:dyDescent="0.25">
      <c r="A21">
        <v>20</v>
      </c>
      <c r="B21" t="s">
        <v>170</v>
      </c>
      <c r="C21" t="s">
        <v>55</v>
      </c>
      <c r="D21" t="s">
        <v>171</v>
      </c>
      <c r="E21" t="s">
        <v>172</v>
      </c>
    </row>
    <row r="22" spans="1:5" x14ac:dyDescent="0.25">
      <c r="A22">
        <v>21</v>
      </c>
      <c r="B22" t="s">
        <v>173</v>
      </c>
      <c r="C22" t="s">
        <v>174</v>
      </c>
      <c r="D22" t="s">
        <v>175</v>
      </c>
      <c r="E22" t="s">
        <v>176</v>
      </c>
    </row>
    <row r="23" spans="1:5" x14ac:dyDescent="0.25">
      <c r="A23">
        <v>22</v>
      </c>
      <c r="B23" t="s">
        <v>177</v>
      </c>
      <c r="C23" t="s">
        <v>178</v>
      </c>
      <c r="D23" t="s">
        <v>153</v>
      </c>
      <c r="E23" t="s">
        <v>179</v>
      </c>
    </row>
    <row r="24" spans="1:5" x14ac:dyDescent="0.25">
      <c r="A24">
        <v>23</v>
      </c>
      <c r="B24" t="s">
        <v>180</v>
      </c>
      <c r="C24" t="s">
        <v>181</v>
      </c>
      <c r="D24" t="s">
        <v>171</v>
      </c>
      <c r="E24" t="s">
        <v>182</v>
      </c>
    </row>
    <row r="25" spans="1:5" x14ac:dyDescent="0.25">
      <c r="A25">
        <v>24</v>
      </c>
      <c r="B25" t="s">
        <v>183</v>
      </c>
      <c r="C25" t="s">
        <v>184</v>
      </c>
      <c r="D25" t="s">
        <v>175</v>
      </c>
      <c r="E25" t="s">
        <v>185</v>
      </c>
    </row>
    <row r="26" spans="1:5" x14ac:dyDescent="0.25">
      <c r="A26">
        <v>25</v>
      </c>
      <c r="B26" t="s">
        <v>186</v>
      </c>
      <c r="C26" t="s">
        <v>55</v>
      </c>
      <c r="D26" t="s">
        <v>187</v>
      </c>
      <c r="E26" t="s">
        <v>188</v>
      </c>
    </row>
    <row r="27" spans="1:5" x14ac:dyDescent="0.25">
      <c r="A27">
        <v>26</v>
      </c>
      <c r="B27" t="s">
        <v>189</v>
      </c>
      <c r="C27" t="s">
        <v>190</v>
      </c>
      <c r="D27" t="s">
        <v>191</v>
      </c>
      <c r="E27" t="s">
        <v>192</v>
      </c>
    </row>
    <row r="28" spans="1:5" x14ac:dyDescent="0.25">
      <c r="A28">
        <v>27</v>
      </c>
      <c r="B28" t="s">
        <v>193</v>
      </c>
      <c r="C28" t="s">
        <v>194</v>
      </c>
      <c r="D28" t="s">
        <v>175</v>
      </c>
      <c r="E28" t="s">
        <v>195</v>
      </c>
    </row>
    <row r="29" spans="1:5" x14ac:dyDescent="0.25">
      <c r="A29">
        <v>28</v>
      </c>
      <c r="B29" t="s">
        <v>196</v>
      </c>
      <c r="C29" t="s">
        <v>197</v>
      </c>
      <c r="D29" t="s">
        <v>198</v>
      </c>
      <c r="E29" t="s">
        <v>199</v>
      </c>
    </row>
    <row r="30" spans="1:5" x14ac:dyDescent="0.25">
      <c r="A30">
        <v>29</v>
      </c>
      <c r="B30" t="s">
        <v>200</v>
      </c>
      <c r="C30" t="s">
        <v>201</v>
      </c>
      <c r="D30" t="s">
        <v>175</v>
      </c>
      <c r="E30" t="s">
        <v>202</v>
      </c>
    </row>
    <row r="31" spans="1:5" x14ac:dyDescent="0.25">
      <c r="A31">
        <v>30</v>
      </c>
      <c r="B31" t="s">
        <v>203</v>
      </c>
      <c r="C31" t="s">
        <v>55</v>
      </c>
      <c r="D31" t="s">
        <v>204</v>
      </c>
      <c r="E31" t="s">
        <v>205</v>
      </c>
    </row>
    <row r="32" spans="1:5" x14ac:dyDescent="0.25">
      <c r="A32">
        <v>31</v>
      </c>
      <c r="B32" t="s">
        <v>206</v>
      </c>
      <c r="C32" t="s">
        <v>207</v>
      </c>
      <c r="D32" t="s">
        <v>208</v>
      </c>
      <c r="E32" t="s">
        <v>209</v>
      </c>
    </row>
    <row r="33" spans="1:5" x14ac:dyDescent="0.25">
      <c r="A33">
        <v>32</v>
      </c>
      <c r="B33" t="s">
        <v>210</v>
      </c>
      <c r="C33" t="s">
        <v>55</v>
      </c>
      <c r="D33" t="s">
        <v>211</v>
      </c>
      <c r="E33" t="s">
        <v>212</v>
      </c>
    </row>
    <row r="34" spans="1:5" x14ac:dyDescent="0.25">
      <c r="A34">
        <v>33</v>
      </c>
      <c r="B34" t="s">
        <v>213</v>
      </c>
      <c r="C34" t="s">
        <v>55</v>
      </c>
      <c r="D34" t="s">
        <v>214</v>
      </c>
      <c r="E34" t="s">
        <v>215</v>
      </c>
    </row>
    <row r="35" spans="1:5" x14ac:dyDescent="0.25">
      <c r="A35">
        <v>34</v>
      </c>
      <c r="B35" t="s">
        <v>216</v>
      </c>
      <c r="C35" t="s">
        <v>217</v>
      </c>
      <c r="D35" t="s">
        <v>218</v>
      </c>
      <c r="E35" t="s">
        <v>219</v>
      </c>
    </row>
    <row r="36" spans="1:5" x14ac:dyDescent="0.25">
      <c r="A36">
        <v>35</v>
      </c>
      <c r="B36" t="s">
        <v>220</v>
      </c>
      <c r="C36" t="s">
        <v>221</v>
      </c>
      <c r="D36" t="s">
        <v>208</v>
      </c>
      <c r="E36" t="s">
        <v>222</v>
      </c>
    </row>
    <row r="37" spans="1:5" x14ac:dyDescent="0.25">
      <c r="A37">
        <v>36</v>
      </c>
      <c r="B37" t="s">
        <v>223</v>
      </c>
      <c r="C37" t="s">
        <v>55</v>
      </c>
      <c r="D37" t="s">
        <v>224</v>
      </c>
      <c r="E37" t="s">
        <v>225</v>
      </c>
    </row>
    <row r="38" spans="1:5" x14ac:dyDescent="0.25">
      <c r="A38">
        <v>37</v>
      </c>
      <c r="B38" t="s">
        <v>226</v>
      </c>
      <c r="C38" t="s">
        <v>227</v>
      </c>
      <c r="D38" t="s">
        <v>228</v>
      </c>
      <c r="E38" t="s">
        <v>229</v>
      </c>
    </row>
    <row r="39" spans="1:5" x14ac:dyDescent="0.25">
      <c r="A39">
        <v>38</v>
      </c>
      <c r="B39" t="s">
        <v>230</v>
      </c>
      <c r="C39" t="s">
        <v>231</v>
      </c>
      <c r="D39" t="s">
        <v>175</v>
      </c>
      <c r="E39" t="s">
        <v>232</v>
      </c>
    </row>
    <row r="40" spans="1:5" x14ac:dyDescent="0.25">
      <c r="A40">
        <v>39</v>
      </c>
      <c r="B40" t="s">
        <v>233</v>
      </c>
      <c r="C40" t="s">
        <v>234</v>
      </c>
      <c r="D40" t="s">
        <v>235</v>
      </c>
      <c r="E40" t="s">
        <v>236</v>
      </c>
    </row>
    <row r="41" spans="1:5" x14ac:dyDescent="0.25">
      <c r="A41">
        <v>40</v>
      </c>
      <c r="B41" t="s">
        <v>237</v>
      </c>
      <c r="C41" t="s">
        <v>238</v>
      </c>
      <c r="D41" t="s">
        <v>239</v>
      </c>
      <c r="E41" t="s">
        <v>240</v>
      </c>
    </row>
    <row r="42" spans="1:5" x14ac:dyDescent="0.25">
      <c r="A42">
        <v>41</v>
      </c>
      <c r="B42" t="s">
        <v>241</v>
      </c>
      <c r="C42" t="s">
        <v>242</v>
      </c>
      <c r="D42" t="s">
        <v>243</v>
      </c>
      <c r="E42" t="s">
        <v>244</v>
      </c>
    </row>
    <row r="43" spans="1:5" x14ac:dyDescent="0.25">
      <c r="A43">
        <v>42</v>
      </c>
      <c r="B43" t="s">
        <v>245</v>
      </c>
      <c r="C43" t="s">
        <v>246</v>
      </c>
      <c r="D43" t="s">
        <v>175</v>
      </c>
      <c r="E43" t="s">
        <v>247</v>
      </c>
    </row>
    <row r="44" spans="1:5" x14ac:dyDescent="0.25">
      <c r="A44">
        <v>43</v>
      </c>
      <c r="B44" t="s">
        <v>248</v>
      </c>
      <c r="C44" t="s">
        <v>249</v>
      </c>
      <c r="D44" t="s">
        <v>235</v>
      </c>
      <c r="E44" t="s">
        <v>250</v>
      </c>
    </row>
    <row r="45" spans="1:5" x14ac:dyDescent="0.25">
      <c r="A45">
        <v>44</v>
      </c>
      <c r="B45" t="s">
        <v>251</v>
      </c>
      <c r="C45" t="s">
        <v>252</v>
      </c>
      <c r="D45" t="s">
        <v>253</v>
      </c>
      <c r="E45" t="s">
        <v>254</v>
      </c>
    </row>
    <row r="46" spans="1:5" x14ac:dyDescent="0.25">
      <c r="A46">
        <v>45</v>
      </c>
      <c r="B46" t="s">
        <v>255</v>
      </c>
      <c r="C46" t="s">
        <v>256</v>
      </c>
      <c r="D46" t="s">
        <v>235</v>
      </c>
      <c r="E46" t="s">
        <v>257</v>
      </c>
    </row>
    <row r="47" spans="1:5" x14ac:dyDescent="0.25">
      <c r="A47">
        <v>46</v>
      </c>
      <c r="B47" t="s">
        <v>258</v>
      </c>
      <c r="C47" t="s">
        <v>259</v>
      </c>
      <c r="D47" t="s">
        <v>175</v>
      </c>
      <c r="E47" t="s">
        <v>260</v>
      </c>
    </row>
    <row r="48" spans="1:5" x14ac:dyDescent="0.25">
      <c r="A48">
        <v>47</v>
      </c>
      <c r="B48" t="s">
        <v>261</v>
      </c>
      <c r="C48" t="s">
        <v>262</v>
      </c>
      <c r="D48" t="s">
        <v>253</v>
      </c>
      <c r="E48" t="s">
        <v>263</v>
      </c>
    </row>
    <row r="49" spans="1:5" x14ac:dyDescent="0.25">
      <c r="A49">
        <v>48</v>
      </c>
      <c r="B49" t="s">
        <v>264</v>
      </c>
      <c r="C49" t="s">
        <v>265</v>
      </c>
      <c r="D49" t="s">
        <v>175</v>
      </c>
      <c r="E49" t="s">
        <v>266</v>
      </c>
    </row>
    <row r="50" spans="1:5" x14ac:dyDescent="0.25">
      <c r="A50">
        <v>49</v>
      </c>
      <c r="B50" t="s">
        <v>267</v>
      </c>
      <c r="C50" t="s">
        <v>268</v>
      </c>
      <c r="D50" t="s">
        <v>235</v>
      </c>
      <c r="E50" t="s">
        <v>269</v>
      </c>
    </row>
    <row r="51" spans="1:5" x14ac:dyDescent="0.25">
      <c r="A51">
        <v>50</v>
      </c>
      <c r="B51" t="s">
        <v>270</v>
      </c>
      <c r="C51" t="s">
        <v>271</v>
      </c>
      <c r="D51" t="s">
        <v>224</v>
      </c>
      <c r="E51" t="s">
        <v>272</v>
      </c>
    </row>
    <row r="52" spans="1:5" x14ac:dyDescent="0.25">
      <c r="A52">
        <v>51</v>
      </c>
      <c r="B52" t="s">
        <v>273</v>
      </c>
      <c r="C52" t="s">
        <v>274</v>
      </c>
      <c r="D52" t="s">
        <v>275</v>
      </c>
      <c r="E52" t="s">
        <v>276</v>
      </c>
    </row>
    <row r="53" spans="1:5" x14ac:dyDescent="0.25">
      <c r="A53">
        <v>52</v>
      </c>
      <c r="B53" t="s">
        <v>277</v>
      </c>
      <c r="C53" t="s">
        <v>278</v>
      </c>
      <c r="D53" t="s">
        <v>279</v>
      </c>
      <c r="E53" t="s">
        <v>280</v>
      </c>
    </row>
    <row r="54" spans="1:5" x14ac:dyDescent="0.25">
      <c r="A54">
        <v>53</v>
      </c>
      <c r="B54" t="s">
        <v>281</v>
      </c>
      <c r="C54" t="s">
        <v>282</v>
      </c>
      <c r="E54" t="s">
        <v>283</v>
      </c>
    </row>
    <row r="55" spans="1:5" x14ac:dyDescent="0.25">
      <c r="A55">
        <v>54</v>
      </c>
      <c r="B55" t="s">
        <v>284</v>
      </c>
      <c r="C55" t="s">
        <v>165</v>
      </c>
      <c r="D55" t="s">
        <v>235</v>
      </c>
      <c r="E55" t="s">
        <v>285</v>
      </c>
    </row>
    <row r="56" spans="1:5" x14ac:dyDescent="0.25">
      <c r="A56">
        <v>55</v>
      </c>
      <c r="B56" t="s">
        <v>286</v>
      </c>
      <c r="C56" t="s">
        <v>287</v>
      </c>
      <c r="D56" t="s">
        <v>288</v>
      </c>
      <c r="E56" t="s">
        <v>289</v>
      </c>
    </row>
    <row r="57" spans="1:5" x14ac:dyDescent="0.25">
      <c r="A57">
        <v>56</v>
      </c>
      <c r="B57" t="s">
        <v>290</v>
      </c>
      <c r="C57" t="s">
        <v>291</v>
      </c>
      <c r="D57" t="s">
        <v>292</v>
      </c>
      <c r="E57" t="s">
        <v>293</v>
      </c>
    </row>
    <row r="58" spans="1:5" x14ac:dyDescent="0.25">
      <c r="A58">
        <v>57</v>
      </c>
      <c r="B58" t="s">
        <v>294</v>
      </c>
      <c r="C58" t="s">
        <v>295</v>
      </c>
      <c r="D58" t="s">
        <v>296</v>
      </c>
      <c r="E58" t="s">
        <v>297</v>
      </c>
    </row>
    <row r="59" spans="1:5" x14ac:dyDescent="0.25">
      <c r="A59">
        <v>58</v>
      </c>
      <c r="B59" t="s">
        <v>298</v>
      </c>
      <c r="C59" t="s">
        <v>181</v>
      </c>
      <c r="D59" t="s">
        <v>292</v>
      </c>
      <c r="E59" t="s">
        <v>299</v>
      </c>
    </row>
    <row r="60" spans="1:5" x14ac:dyDescent="0.25">
      <c r="A60">
        <v>59</v>
      </c>
      <c r="B60" t="s">
        <v>300</v>
      </c>
      <c r="C60" t="s">
        <v>301</v>
      </c>
      <c r="D60" t="s">
        <v>302</v>
      </c>
      <c r="E60" t="s">
        <v>303</v>
      </c>
    </row>
    <row r="61" spans="1:5" x14ac:dyDescent="0.25">
      <c r="A61">
        <v>60</v>
      </c>
      <c r="B61" t="s">
        <v>304</v>
      </c>
      <c r="C61" t="s">
        <v>305</v>
      </c>
      <c r="D61" t="s">
        <v>175</v>
      </c>
      <c r="E61" t="s">
        <v>306</v>
      </c>
    </row>
    <row r="62" spans="1:5" x14ac:dyDescent="0.25">
      <c r="A62">
        <v>61</v>
      </c>
      <c r="B62" t="s">
        <v>307</v>
      </c>
      <c r="C62" t="s">
        <v>308</v>
      </c>
      <c r="D62" t="s">
        <v>309</v>
      </c>
      <c r="E62" t="s">
        <v>310</v>
      </c>
    </row>
    <row r="63" spans="1:5" x14ac:dyDescent="0.25">
      <c r="A63">
        <v>62</v>
      </c>
      <c r="B63" t="s">
        <v>311</v>
      </c>
      <c r="C63" t="s">
        <v>312</v>
      </c>
      <c r="D63" t="s">
        <v>175</v>
      </c>
      <c r="E63" t="s">
        <v>313</v>
      </c>
    </row>
    <row r="64" spans="1:5" x14ac:dyDescent="0.25">
      <c r="A64">
        <v>63</v>
      </c>
      <c r="B64" t="s">
        <v>314</v>
      </c>
      <c r="C64" t="s">
        <v>201</v>
      </c>
      <c r="D64" t="s">
        <v>309</v>
      </c>
      <c r="E64" t="s">
        <v>315</v>
      </c>
    </row>
    <row r="65" spans="1:5" x14ac:dyDescent="0.25">
      <c r="A65">
        <v>64</v>
      </c>
      <c r="B65" t="s">
        <v>316</v>
      </c>
      <c r="C65" t="s">
        <v>317</v>
      </c>
      <c r="D65" t="s">
        <v>292</v>
      </c>
      <c r="E65" t="s">
        <v>318</v>
      </c>
    </row>
    <row r="66" spans="1:5" x14ac:dyDescent="0.25">
      <c r="A66">
        <v>65</v>
      </c>
      <c r="B66" t="s">
        <v>319</v>
      </c>
      <c r="C66" t="s">
        <v>320</v>
      </c>
      <c r="D66" t="s">
        <v>292</v>
      </c>
      <c r="E66" t="s">
        <v>321</v>
      </c>
    </row>
    <row r="67" spans="1:5" x14ac:dyDescent="0.25">
      <c r="A67">
        <v>66</v>
      </c>
      <c r="B67" t="s">
        <v>322</v>
      </c>
      <c r="C67" t="s">
        <v>221</v>
      </c>
      <c r="D67" t="s">
        <v>292</v>
      </c>
      <c r="E67" t="s">
        <v>323</v>
      </c>
    </row>
    <row r="68" spans="1:5" x14ac:dyDescent="0.25">
      <c r="A68">
        <v>67</v>
      </c>
      <c r="B68" t="s">
        <v>324</v>
      </c>
      <c r="C68" t="s">
        <v>111</v>
      </c>
      <c r="D68" t="s">
        <v>235</v>
      </c>
      <c r="E68" t="s">
        <v>325</v>
      </c>
    </row>
    <row r="69" spans="1:5" x14ac:dyDescent="0.25">
      <c r="A69">
        <v>68</v>
      </c>
      <c r="B69" t="s">
        <v>326</v>
      </c>
      <c r="C69" t="s">
        <v>231</v>
      </c>
      <c r="D69" t="s">
        <v>296</v>
      </c>
      <c r="E69" t="s">
        <v>327</v>
      </c>
    </row>
    <row r="70" spans="1:5" x14ac:dyDescent="0.25">
      <c r="A70">
        <v>69</v>
      </c>
      <c r="B70" t="s">
        <v>328</v>
      </c>
      <c r="C70" t="s">
        <v>329</v>
      </c>
      <c r="D70" t="s">
        <v>292</v>
      </c>
      <c r="E70" t="s">
        <v>330</v>
      </c>
    </row>
    <row r="71" spans="1:5" x14ac:dyDescent="0.25">
      <c r="A71">
        <v>70</v>
      </c>
      <c r="B71" t="s">
        <v>331</v>
      </c>
      <c r="C71" t="s">
        <v>332</v>
      </c>
      <c r="D71" t="s">
        <v>333</v>
      </c>
      <c r="E71" t="s">
        <v>334</v>
      </c>
    </row>
    <row r="72" spans="1:5" x14ac:dyDescent="0.25">
      <c r="A72">
        <v>71</v>
      </c>
      <c r="B72" t="s">
        <v>335</v>
      </c>
      <c r="C72" t="s">
        <v>336</v>
      </c>
      <c r="D72" t="s">
        <v>296</v>
      </c>
      <c r="E72" t="s">
        <v>337</v>
      </c>
    </row>
    <row r="73" spans="1:5" x14ac:dyDescent="0.25">
      <c r="A73">
        <v>72</v>
      </c>
      <c r="B73" t="s">
        <v>338</v>
      </c>
      <c r="C73" t="s">
        <v>246</v>
      </c>
      <c r="D73" t="s">
        <v>333</v>
      </c>
      <c r="E73" t="s">
        <v>339</v>
      </c>
    </row>
    <row r="74" spans="1:5" x14ac:dyDescent="0.25">
      <c r="A74">
        <v>73</v>
      </c>
      <c r="B74" t="s">
        <v>340</v>
      </c>
      <c r="C74" t="s">
        <v>249</v>
      </c>
      <c r="D74" t="s">
        <v>296</v>
      </c>
      <c r="E74" t="s">
        <v>341</v>
      </c>
    </row>
    <row r="75" spans="1:5" x14ac:dyDescent="0.25">
      <c r="A75">
        <v>74</v>
      </c>
      <c r="B75" t="s">
        <v>342</v>
      </c>
      <c r="C75" t="s">
        <v>343</v>
      </c>
      <c r="D75" t="s">
        <v>333</v>
      </c>
      <c r="E75" t="s">
        <v>344</v>
      </c>
    </row>
    <row r="76" spans="1:5" x14ac:dyDescent="0.25">
      <c r="A76">
        <v>75</v>
      </c>
      <c r="B76" t="s">
        <v>345</v>
      </c>
      <c r="C76" t="s">
        <v>256</v>
      </c>
      <c r="D76" t="s">
        <v>292</v>
      </c>
      <c r="E76" t="s">
        <v>346</v>
      </c>
    </row>
    <row r="77" spans="1:5" x14ac:dyDescent="0.25">
      <c r="A77">
        <v>76</v>
      </c>
      <c r="B77" t="s">
        <v>347</v>
      </c>
      <c r="C77" t="s">
        <v>259</v>
      </c>
      <c r="D77" t="s">
        <v>309</v>
      </c>
      <c r="E77" t="s">
        <v>348</v>
      </c>
    </row>
    <row r="78" spans="1:5" x14ac:dyDescent="0.25">
      <c r="A78">
        <v>77</v>
      </c>
      <c r="B78" t="s">
        <v>349</v>
      </c>
      <c r="C78" t="s">
        <v>262</v>
      </c>
      <c r="D78" t="s">
        <v>333</v>
      </c>
      <c r="E78" t="s">
        <v>350</v>
      </c>
    </row>
    <row r="79" spans="1:5" x14ac:dyDescent="0.25">
      <c r="A79">
        <v>78</v>
      </c>
      <c r="B79" t="s">
        <v>351</v>
      </c>
      <c r="C79" t="s">
        <v>265</v>
      </c>
      <c r="D79" t="s">
        <v>309</v>
      </c>
      <c r="E79" t="s">
        <v>352</v>
      </c>
    </row>
    <row r="80" spans="1:5" x14ac:dyDescent="0.25">
      <c r="A80">
        <v>79</v>
      </c>
      <c r="B80" t="s">
        <v>353</v>
      </c>
      <c r="C80" t="s">
        <v>282</v>
      </c>
      <c r="E80" t="s">
        <v>354</v>
      </c>
    </row>
    <row r="81" spans="1:5" x14ac:dyDescent="0.25">
      <c r="A81">
        <v>80</v>
      </c>
      <c r="B81" t="s">
        <v>355</v>
      </c>
      <c r="C81" t="s">
        <v>356</v>
      </c>
      <c r="D81" t="s">
        <v>357</v>
      </c>
      <c r="E81" t="s">
        <v>358</v>
      </c>
    </row>
    <row r="82" spans="1:5" x14ac:dyDescent="0.25">
      <c r="A82">
        <v>81</v>
      </c>
      <c r="B82" t="s">
        <v>359</v>
      </c>
      <c r="C82" t="s">
        <v>282</v>
      </c>
      <c r="E82" t="s">
        <v>360</v>
      </c>
    </row>
    <row r="83" spans="1:5" x14ac:dyDescent="0.25">
      <c r="A83">
        <v>82</v>
      </c>
      <c r="B83" t="s">
        <v>361</v>
      </c>
      <c r="C83" t="s">
        <v>362</v>
      </c>
      <c r="D83" t="s">
        <v>363</v>
      </c>
      <c r="E83" t="s">
        <v>364</v>
      </c>
    </row>
    <row r="84" spans="1:5" x14ac:dyDescent="0.25">
      <c r="A84">
        <v>83</v>
      </c>
      <c r="B84" t="s">
        <v>365</v>
      </c>
      <c r="C84" t="s">
        <v>165</v>
      </c>
      <c r="D84" t="s">
        <v>363</v>
      </c>
      <c r="E84" t="s">
        <v>366</v>
      </c>
    </row>
    <row r="85" spans="1:5" x14ac:dyDescent="0.25">
      <c r="A85">
        <v>84</v>
      </c>
      <c r="B85" t="s">
        <v>367</v>
      </c>
      <c r="C85" t="s">
        <v>368</v>
      </c>
      <c r="D85" t="s">
        <v>357</v>
      </c>
      <c r="E85" t="s">
        <v>369</v>
      </c>
    </row>
    <row r="86" spans="1:5" x14ac:dyDescent="0.25">
      <c r="A86">
        <v>85</v>
      </c>
      <c r="B86" t="s">
        <v>370</v>
      </c>
      <c r="C86" t="s">
        <v>371</v>
      </c>
      <c r="D86" t="s">
        <v>175</v>
      </c>
      <c r="E86" t="s">
        <v>372</v>
      </c>
    </row>
    <row r="87" spans="1:5" x14ac:dyDescent="0.25">
      <c r="A87">
        <v>86</v>
      </c>
      <c r="B87" t="s">
        <v>373</v>
      </c>
      <c r="C87" t="s">
        <v>374</v>
      </c>
      <c r="D87" t="s">
        <v>363</v>
      </c>
      <c r="E87" t="s">
        <v>375</v>
      </c>
    </row>
    <row r="88" spans="1:5" x14ac:dyDescent="0.25">
      <c r="A88">
        <v>87</v>
      </c>
      <c r="B88" t="s">
        <v>376</v>
      </c>
      <c r="C88" t="s">
        <v>181</v>
      </c>
      <c r="D88" t="s">
        <v>175</v>
      </c>
      <c r="E88" t="s">
        <v>377</v>
      </c>
    </row>
    <row r="89" spans="1:5" x14ac:dyDescent="0.25">
      <c r="A89">
        <v>88</v>
      </c>
      <c r="B89" t="s">
        <v>378</v>
      </c>
      <c r="C89" t="s">
        <v>379</v>
      </c>
      <c r="D89" t="s">
        <v>292</v>
      </c>
      <c r="E89" t="s">
        <v>380</v>
      </c>
    </row>
    <row r="90" spans="1:5" x14ac:dyDescent="0.25">
      <c r="A90">
        <v>89</v>
      </c>
      <c r="B90" t="s">
        <v>381</v>
      </c>
      <c r="C90" t="s">
        <v>305</v>
      </c>
      <c r="D90" t="s">
        <v>357</v>
      </c>
      <c r="E90" t="s">
        <v>382</v>
      </c>
    </row>
    <row r="91" spans="1:5" x14ac:dyDescent="0.25">
      <c r="A91">
        <v>90</v>
      </c>
      <c r="B91" t="s">
        <v>383</v>
      </c>
      <c r="C91" t="s">
        <v>384</v>
      </c>
      <c r="D91" t="s">
        <v>357</v>
      </c>
      <c r="E91" t="s">
        <v>385</v>
      </c>
    </row>
    <row r="92" spans="1:5" x14ac:dyDescent="0.25">
      <c r="A92">
        <v>91</v>
      </c>
      <c r="B92" t="s">
        <v>386</v>
      </c>
      <c r="C92" t="s">
        <v>312</v>
      </c>
      <c r="D92" t="s">
        <v>296</v>
      </c>
      <c r="E92" t="s">
        <v>387</v>
      </c>
    </row>
    <row r="93" spans="1:5" x14ac:dyDescent="0.25">
      <c r="A93">
        <v>92</v>
      </c>
      <c r="B93" t="s">
        <v>388</v>
      </c>
      <c r="C93" t="s">
        <v>201</v>
      </c>
      <c r="D93" t="s">
        <v>357</v>
      </c>
      <c r="E93" t="s">
        <v>389</v>
      </c>
    </row>
    <row r="94" spans="1:5" x14ac:dyDescent="0.25">
      <c r="A94">
        <v>93</v>
      </c>
      <c r="B94" t="s">
        <v>390</v>
      </c>
      <c r="C94" t="s">
        <v>317</v>
      </c>
      <c r="D94" t="s">
        <v>175</v>
      </c>
      <c r="E94" t="s">
        <v>391</v>
      </c>
    </row>
    <row r="95" spans="1:5" x14ac:dyDescent="0.25">
      <c r="A95">
        <v>94</v>
      </c>
      <c r="B95" t="s">
        <v>392</v>
      </c>
      <c r="C95" t="s">
        <v>320</v>
      </c>
      <c r="D95" t="s">
        <v>357</v>
      </c>
      <c r="E95" t="s">
        <v>393</v>
      </c>
    </row>
    <row r="96" spans="1:5" x14ac:dyDescent="0.25">
      <c r="A96">
        <v>95</v>
      </c>
      <c r="B96" t="s">
        <v>394</v>
      </c>
      <c r="C96" t="s">
        <v>221</v>
      </c>
      <c r="D96" t="s">
        <v>296</v>
      </c>
      <c r="E96" t="s">
        <v>395</v>
      </c>
    </row>
    <row r="97" spans="1:5" x14ac:dyDescent="0.25">
      <c r="A97">
        <v>96</v>
      </c>
      <c r="B97" t="s">
        <v>396</v>
      </c>
      <c r="C97" t="s">
        <v>111</v>
      </c>
      <c r="D97" t="s">
        <v>292</v>
      </c>
      <c r="E97" t="s">
        <v>397</v>
      </c>
    </row>
    <row r="98" spans="1:5" x14ac:dyDescent="0.25">
      <c r="A98">
        <v>97</v>
      </c>
      <c r="B98" t="s">
        <v>398</v>
      </c>
      <c r="C98" t="s">
        <v>231</v>
      </c>
      <c r="D98" t="s">
        <v>292</v>
      </c>
      <c r="E98" t="s">
        <v>399</v>
      </c>
    </row>
    <row r="99" spans="1:5" x14ac:dyDescent="0.25">
      <c r="A99">
        <v>98</v>
      </c>
      <c r="B99" t="s">
        <v>400</v>
      </c>
      <c r="C99" t="s">
        <v>401</v>
      </c>
      <c r="D99" t="s">
        <v>402</v>
      </c>
      <c r="E99" t="s">
        <v>403</v>
      </c>
    </row>
    <row r="100" spans="1:5" x14ac:dyDescent="0.25">
      <c r="A100">
        <v>99</v>
      </c>
      <c r="B100" t="s">
        <v>404</v>
      </c>
      <c r="C100" t="s">
        <v>405</v>
      </c>
      <c r="D100" t="s">
        <v>296</v>
      </c>
      <c r="E100" t="s">
        <v>406</v>
      </c>
    </row>
    <row r="101" spans="1:5" x14ac:dyDescent="0.25">
      <c r="A101">
        <v>100</v>
      </c>
      <c r="B101" t="s">
        <v>407</v>
      </c>
      <c r="C101" t="s">
        <v>336</v>
      </c>
      <c r="D101" t="s">
        <v>175</v>
      </c>
      <c r="E101" t="s">
        <v>408</v>
      </c>
    </row>
    <row r="102" spans="1:5" x14ac:dyDescent="0.25">
      <c r="A102">
        <v>101</v>
      </c>
      <c r="B102" t="s">
        <v>409</v>
      </c>
      <c r="C102" t="s">
        <v>246</v>
      </c>
      <c r="D102" t="s">
        <v>292</v>
      </c>
      <c r="E102" t="s">
        <v>410</v>
      </c>
    </row>
    <row r="103" spans="1:5" x14ac:dyDescent="0.25">
      <c r="A103">
        <v>102</v>
      </c>
      <c r="B103" t="s">
        <v>411</v>
      </c>
      <c r="C103" t="s">
        <v>249</v>
      </c>
      <c r="D103" t="s">
        <v>402</v>
      </c>
      <c r="E103" t="s">
        <v>412</v>
      </c>
    </row>
    <row r="104" spans="1:5" x14ac:dyDescent="0.25">
      <c r="A104">
        <v>103</v>
      </c>
      <c r="B104" t="s">
        <v>413</v>
      </c>
      <c r="C104" t="s">
        <v>343</v>
      </c>
      <c r="D104" t="s">
        <v>292</v>
      </c>
      <c r="E104" t="s">
        <v>414</v>
      </c>
    </row>
    <row r="105" spans="1:5" x14ac:dyDescent="0.25">
      <c r="A105">
        <v>104</v>
      </c>
      <c r="B105" t="s">
        <v>415</v>
      </c>
      <c r="C105" t="s">
        <v>256</v>
      </c>
      <c r="D105" t="s">
        <v>296</v>
      </c>
      <c r="E105" t="s">
        <v>416</v>
      </c>
    </row>
    <row r="106" spans="1:5" x14ac:dyDescent="0.25">
      <c r="A106">
        <v>105</v>
      </c>
      <c r="B106" t="s">
        <v>417</v>
      </c>
      <c r="C106" t="s">
        <v>259</v>
      </c>
      <c r="D106" t="s">
        <v>292</v>
      </c>
      <c r="E106" t="s">
        <v>418</v>
      </c>
    </row>
    <row r="107" spans="1:5" x14ac:dyDescent="0.25">
      <c r="A107">
        <v>106</v>
      </c>
      <c r="B107" t="s">
        <v>419</v>
      </c>
      <c r="C107" t="s">
        <v>262</v>
      </c>
      <c r="D107" t="s">
        <v>175</v>
      </c>
      <c r="E107" t="s">
        <v>420</v>
      </c>
    </row>
    <row r="108" spans="1:5" x14ac:dyDescent="0.25">
      <c r="A108">
        <v>107</v>
      </c>
      <c r="B108" t="s">
        <v>421</v>
      </c>
      <c r="C108" t="s">
        <v>265</v>
      </c>
      <c r="D108" t="s">
        <v>296</v>
      </c>
      <c r="E108" t="s">
        <v>422</v>
      </c>
    </row>
    <row r="109" spans="1:5" x14ac:dyDescent="0.25">
      <c r="A109">
        <v>108</v>
      </c>
      <c r="B109" t="s">
        <v>423</v>
      </c>
      <c r="C109" t="s">
        <v>424</v>
      </c>
      <c r="D109" t="s">
        <v>402</v>
      </c>
      <c r="E109" t="s">
        <v>425</v>
      </c>
    </row>
    <row r="110" spans="1:5" x14ac:dyDescent="0.25">
      <c r="A110">
        <v>109</v>
      </c>
      <c r="B110" t="s">
        <v>426</v>
      </c>
      <c r="C110" t="s">
        <v>427</v>
      </c>
      <c r="D110" t="s">
        <v>357</v>
      </c>
      <c r="E110" t="s">
        <v>428</v>
      </c>
    </row>
    <row r="111" spans="1:5" x14ac:dyDescent="0.25">
      <c r="A111">
        <v>110</v>
      </c>
      <c r="B111" t="s">
        <v>429</v>
      </c>
      <c r="C111" t="s">
        <v>165</v>
      </c>
      <c r="D111" t="s">
        <v>292</v>
      </c>
      <c r="E111" t="s">
        <v>430</v>
      </c>
    </row>
    <row r="112" spans="1:5" x14ac:dyDescent="0.25">
      <c r="A112">
        <v>111</v>
      </c>
      <c r="B112" t="s">
        <v>431</v>
      </c>
      <c r="C112" t="s">
        <v>368</v>
      </c>
      <c r="D112" t="s">
        <v>175</v>
      </c>
      <c r="E112" t="s">
        <v>432</v>
      </c>
    </row>
    <row r="113" spans="1:5" x14ac:dyDescent="0.25">
      <c r="A113">
        <v>112</v>
      </c>
      <c r="B113" t="s">
        <v>433</v>
      </c>
      <c r="C113" t="s">
        <v>371</v>
      </c>
      <c r="D113" t="s">
        <v>402</v>
      </c>
      <c r="E113" t="s">
        <v>434</v>
      </c>
    </row>
    <row r="114" spans="1:5" x14ac:dyDescent="0.25">
      <c r="A114">
        <v>113</v>
      </c>
      <c r="B114" t="s">
        <v>435</v>
      </c>
      <c r="C114" t="s">
        <v>374</v>
      </c>
      <c r="D114" t="s">
        <v>292</v>
      </c>
      <c r="E114" t="s">
        <v>436</v>
      </c>
    </row>
    <row r="115" spans="1:5" x14ac:dyDescent="0.25">
      <c r="A115">
        <v>114</v>
      </c>
      <c r="B115" t="s">
        <v>437</v>
      </c>
      <c r="C115" t="s">
        <v>181</v>
      </c>
      <c r="D115" t="s">
        <v>357</v>
      </c>
      <c r="E115" t="s">
        <v>438</v>
      </c>
    </row>
    <row r="116" spans="1:5" x14ac:dyDescent="0.25">
      <c r="A116">
        <v>115</v>
      </c>
      <c r="B116" t="s">
        <v>439</v>
      </c>
      <c r="C116" t="s">
        <v>379</v>
      </c>
      <c r="D116" t="s">
        <v>357</v>
      </c>
      <c r="E116" t="s">
        <v>440</v>
      </c>
    </row>
    <row r="117" spans="1:5" x14ac:dyDescent="0.25">
      <c r="A117">
        <v>116</v>
      </c>
      <c r="B117" t="s">
        <v>441</v>
      </c>
      <c r="C117" t="s">
        <v>305</v>
      </c>
      <c r="D117" t="s">
        <v>292</v>
      </c>
      <c r="E117" t="s">
        <v>442</v>
      </c>
    </row>
    <row r="118" spans="1:5" x14ac:dyDescent="0.25">
      <c r="A118">
        <v>117</v>
      </c>
      <c r="B118" t="s">
        <v>443</v>
      </c>
      <c r="C118" t="s">
        <v>384</v>
      </c>
      <c r="D118" t="s">
        <v>175</v>
      </c>
      <c r="E118" t="s">
        <v>444</v>
      </c>
    </row>
    <row r="119" spans="1:5" x14ac:dyDescent="0.25">
      <c r="A119">
        <v>118</v>
      </c>
      <c r="B119" t="s">
        <v>445</v>
      </c>
      <c r="C119" t="s">
        <v>312</v>
      </c>
      <c r="D119" t="s">
        <v>292</v>
      </c>
      <c r="E119" t="s">
        <v>446</v>
      </c>
    </row>
    <row r="120" spans="1:5" x14ac:dyDescent="0.25">
      <c r="A120">
        <v>119</v>
      </c>
      <c r="B120" t="s">
        <v>447</v>
      </c>
      <c r="C120" t="s">
        <v>201</v>
      </c>
      <c r="D120" t="s">
        <v>296</v>
      </c>
      <c r="E120" t="s">
        <v>448</v>
      </c>
    </row>
    <row r="121" spans="1:5" x14ac:dyDescent="0.25">
      <c r="A121">
        <v>120</v>
      </c>
      <c r="B121" t="s">
        <v>449</v>
      </c>
      <c r="C121" t="s">
        <v>317</v>
      </c>
      <c r="D121" t="s">
        <v>296</v>
      </c>
      <c r="E121" t="s">
        <v>450</v>
      </c>
    </row>
    <row r="122" spans="1:5" x14ac:dyDescent="0.25">
      <c r="A122">
        <v>121</v>
      </c>
      <c r="B122" t="s">
        <v>451</v>
      </c>
      <c r="C122" t="s">
        <v>320</v>
      </c>
      <c r="D122" t="s">
        <v>175</v>
      </c>
      <c r="E122" t="s">
        <v>452</v>
      </c>
    </row>
    <row r="123" spans="1:5" x14ac:dyDescent="0.25">
      <c r="A123">
        <v>122</v>
      </c>
      <c r="B123" t="s">
        <v>453</v>
      </c>
      <c r="C123" t="s">
        <v>221</v>
      </c>
      <c r="D123" t="s">
        <v>402</v>
      </c>
      <c r="E123" t="s">
        <v>454</v>
      </c>
    </row>
    <row r="124" spans="1:5" x14ac:dyDescent="0.25">
      <c r="A124">
        <v>123</v>
      </c>
      <c r="B124" t="s">
        <v>455</v>
      </c>
      <c r="C124" t="s">
        <v>456</v>
      </c>
      <c r="D124" t="s">
        <v>457</v>
      </c>
      <c r="E124" t="s">
        <v>458</v>
      </c>
    </row>
    <row r="125" spans="1:5" x14ac:dyDescent="0.25">
      <c r="A125">
        <v>124</v>
      </c>
      <c r="B125" t="s">
        <v>459</v>
      </c>
      <c r="C125" t="s">
        <v>231</v>
      </c>
      <c r="D125" t="s">
        <v>402</v>
      </c>
      <c r="E125" t="s">
        <v>460</v>
      </c>
    </row>
    <row r="126" spans="1:5" x14ac:dyDescent="0.25">
      <c r="A126">
        <v>125</v>
      </c>
      <c r="B126" t="s">
        <v>461</v>
      </c>
      <c r="C126" t="s">
        <v>462</v>
      </c>
      <c r="D126" t="s">
        <v>292</v>
      </c>
      <c r="E126" t="s">
        <v>463</v>
      </c>
    </row>
    <row r="127" spans="1:5" x14ac:dyDescent="0.25">
      <c r="A127">
        <v>126</v>
      </c>
      <c r="B127" t="s">
        <v>464</v>
      </c>
      <c r="C127" t="s">
        <v>405</v>
      </c>
      <c r="D127" t="s">
        <v>402</v>
      </c>
      <c r="E127" t="s">
        <v>465</v>
      </c>
    </row>
    <row r="128" spans="1:5" x14ac:dyDescent="0.25">
      <c r="A128">
        <v>127</v>
      </c>
      <c r="B128" t="s">
        <v>466</v>
      </c>
      <c r="C128" t="s">
        <v>467</v>
      </c>
      <c r="D128" t="s">
        <v>468</v>
      </c>
      <c r="E128" t="s">
        <v>469</v>
      </c>
    </row>
    <row r="129" spans="1:5" x14ac:dyDescent="0.25">
      <c r="A129">
        <v>128</v>
      </c>
      <c r="B129" t="s">
        <v>470</v>
      </c>
      <c r="C129" t="s">
        <v>246</v>
      </c>
      <c r="D129" t="s">
        <v>296</v>
      </c>
      <c r="E129" t="s">
        <v>471</v>
      </c>
    </row>
    <row r="130" spans="1:5" x14ac:dyDescent="0.25">
      <c r="A130">
        <v>129</v>
      </c>
      <c r="B130" t="s">
        <v>472</v>
      </c>
      <c r="C130" t="s">
        <v>473</v>
      </c>
      <c r="D130" t="s">
        <v>474</v>
      </c>
      <c r="E130" t="s">
        <v>475</v>
      </c>
    </row>
    <row r="131" spans="1:5" x14ac:dyDescent="0.25">
      <c r="A131">
        <v>130</v>
      </c>
      <c r="B131" t="s">
        <v>476</v>
      </c>
      <c r="C131" t="s">
        <v>343</v>
      </c>
      <c r="D131" t="s">
        <v>457</v>
      </c>
      <c r="E131" t="s">
        <v>477</v>
      </c>
    </row>
    <row r="132" spans="1:5" x14ac:dyDescent="0.25">
      <c r="A132">
        <v>131</v>
      </c>
      <c r="B132" t="s">
        <v>478</v>
      </c>
      <c r="C132" t="s">
        <v>479</v>
      </c>
      <c r="D132" t="s">
        <v>480</v>
      </c>
      <c r="E132" t="s">
        <v>481</v>
      </c>
    </row>
    <row r="133" spans="1:5" x14ac:dyDescent="0.25">
      <c r="A133">
        <v>132</v>
      </c>
      <c r="B133" t="s">
        <v>482</v>
      </c>
      <c r="C133" t="s">
        <v>483</v>
      </c>
      <c r="D133" t="s">
        <v>484</v>
      </c>
      <c r="E133" t="s">
        <v>485</v>
      </c>
    </row>
    <row r="134" spans="1:5" x14ac:dyDescent="0.25">
      <c r="A134">
        <v>133</v>
      </c>
      <c r="B134" t="s">
        <v>486</v>
      </c>
      <c r="C134" t="s">
        <v>487</v>
      </c>
      <c r="D134" t="s">
        <v>488</v>
      </c>
      <c r="E134" t="s">
        <v>489</v>
      </c>
    </row>
    <row r="135" spans="1:5" x14ac:dyDescent="0.25">
      <c r="A135">
        <v>134</v>
      </c>
      <c r="B135" t="s">
        <v>490</v>
      </c>
      <c r="C135" t="s">
        <v>265</v>
      </c>
      <c r="D135" t="s">
        <v>474</v>
      </c>
      <c r="E135" t="s">
        <v>491</v>
      </c>
    </row>
    <row r="136" spans="1:5" x14ac:dyDescent="0.25">
      <c r="A136">
        <v>135</v>
      </c>
      <c r="B136" t="s">
        <v>492</v>
      </c>
      <c r="C136" t="s">
        <v>282</v>
      </c>
      <c r="E136" t="s">
        <v>493</v>
      </c>
    </row>
    <row r="137" spans="1:5" x14ac:dyDescent="0.25">
      <c r="A137">
        <v>136</v>
      </c>
      <c r="B137" t="s">
        <v>494</v>
      </c>
      <c r="C137" t="s">
        <v>427</v>
      </c>
      <c r="D137" t="s">
        <v>474</v>
      </c>
      <c r="E137" t="s">
        <v>495</v>
      </c>
    </row>
    <row r="138" spans="1:5" x14ac:dyDescent="0.25">
      <c r="A138">
        <v>137</v>
      </c>
      <c r="B138" t="s">
        <v>496</v>
      </c>
      <c r="C138" t="s">
        <v>165</v>
      </c>
      <c r="D138" t="s">
        <v>488</v>
      </c>
      <c r="E138" t="s">
        <v>497</v>
      </c>
    </row>
    <row r="139" spans="1:5" x14ac:dyDescent="0.25">
      <c r="A139">
        <v>138</v>
      </c>
      <c r="B139" t="s">
        <v>498</v>
      </c>
      <c r="C139" t="s">
        <v>368</v>
      </c>
      <c r="D139" t="s">
        <v>480</v>
      </c>
      <c r="E139" t="s">
        <v>499</v>
      </c>
    </row>
    <row r="140" spans="1:5" x14ac:dyDescent="0.25">
      <c r="A140">
        <v>139</v>
      </c>
      <c r="B140" t="s">
        <v>500</v>
      </c>
      <c r="C140" t="s">
        <v>371</v>
      </c>
      <c r="D140" t="s">
        <v>484</v>
      </c>
      <c r="E140" t="s">
        <v>501</v>
      </c>
    </row>
    <row r="141" spans="1:5" x14ac:dyDescent="0.25">
      <c r="A141">
        <v>140</v>
      </c>
      <c r="B141" t="s">
        <v>502</v>
      </c>
      <c r="C141" t="s">
        <v>374</v>
      </c>
      <c r="D141" t="s">
        <v>457</v>
      </c>
      <c r="E141" t="s">
        <v>503</v>
      </c>
    </row>
    <row r="142" spans="1:5" x14ac:dyDescent="0.25">
      <c r="A142">
        <v>141</v>
      </c>
      <c r="B142" t="s">
        <v>504</v>
      </c>
      <c r="C142" t="s">
        <v>181</v>
      </c>
      <c r="D142" t="s">
        <v>488</v>
      </c>
      <c r="E142" t="s">
        <v>505</v>
      </c>
    </row>
    <row r="143" spans="1:5" x14ac:dyDescent="0.25">
      <c r="A143">
        <v>142</v>
      </c>
      <c r="B143" t="s">
        <v>506</v>
      </c>
      <c r="C143" t="s">
        <v>379</v>
      </c>
      <c r="D143" t="s">
        <v>488</v>
      </c>
      <c r="E143" t="s">
        <v>507</v>
      </c>
    </row>
    <row r="144" spans="1:5" x14ac:dyDescent="0.25">
      <c r="A144">
        <v>143</v>
      </c>
      <c r="B144" t="s">
        <v>508</v>
      </c>
      <c r="C144" t="s">
        <v>305</v>
      </c>
      <c r="D144" t="s">
        <v>488</v>
      </c>
      <c r="E144" t="s">
        <v>509</v>
      </c>
    </row>
    <row r="145" spans="1:5" x14ac:dyDescent="0.25">
      <c r="A145">
        <v>144</v>
      </c>
      <c r="B145" t="s">
        <v>510</v>
      </c>
      <c r="C145" t="s">
        <v>384</v>
      </c>
      <c r="D145" t="s">
        <v>488</v>
      </c>
      <c r="E145" t="s">
        <v>511</v>
      </c>
    </row>
    <row r="146" spans="1:5" x14ac:dyDescent="0.25">
      <c r="A146">
        <v>145</v>
      </c>
      <c r="B146" t="s">
        <v>512</v>
      </c>
      <c r="C146" t="s">
        <v>513</v>
      </c>
      <c r="D146" t="s">
        <v>514</v>
      </c>
      <c r="E146" t="s">
        <v>515</v>
      </c>
    </row>
    <row r="147" spans="1:5" x14ac:dyDescent="0.25">
      <c r="A147">
        <v>146</v>
      </c>
      <c r="B147" t="s">
        <v>516</v>
      </c>
      <c r="C147" t="s">
        <v>201</v>
      </c>
      <c r="D147" t="s">
        <v>474</v>
      </c>
      <c r="E147" t="s">
        <v>517</v>
      </c>
    </row>
    <row r="148" spans="1:5" x14ac:dyDescent="0.25">
      <c r="A148">
        <v>147</v>
      </c>
      <c r="B148" t="s">
        <v>518</v>
      </c>
      <c r="C148" t="s">
        <v>317</v>
      </c>
      <c r="D148" t="s">
        <v>514</v>
      </c>
      <c r="E148" t="s">
        <v>519</v>
      </c>
    </row>
    <row r="149" spans="1:5" x14ac:dyDescent="0.25">
      <c r="A149">
        <v>148</v>
      </c>
      <c r="B149" t="s">
        <v>520</v>
      </c>
      <c r="C149" t="s">
        <v>320</v>
      </c>
      <c r="D149" t="s">
        <v>514</v>
      </c>
      <c r="E149" t="s">
        <v>521</v>
      </c>
    </row>
    <row r="150" spans="1:5" x14ac:dyDescent="0.25">
      <c r="A150">
        <v>149</v>
      </c>
      <c r="B150" t="s">
        <v>522</v>
      </c>
      <c r="C150" t="s">
        <v>221</v>
      </c>
      <c r="D150" t="s">
        <v>457</v>
      </c>
      <c r="E150" t="s">
        <v>523</v>
      </c>
    </row>
    <row r="151" spans="1:5" x14ac:dyDescent="0.25">
      <c r="A151">
        <v>150</v>
      </c>
      <c r="B151" t="s">
        <v>524</v>
      </c>
      <c r="C151" t="s">
        <v>109</v>
      </c>
      <c r="D151" t="s">
        <v>488</v>
      </c>
      <c r="E151" t="s">
        <v>525</v>
      </c>
    </row>
    <row r="152" spans="1:5" x14ac:dyDescent="0.25">
      <c r="A152">
        <v>151</v>
      </c>
      <c r="B152" t="s">
        <v>526</v>
      </c>
      <c r="C152" t="s">
        <v>231</v>
      </c>
      <c r="D152" t="s">
        <v>484</v>
      </c>
      <c r="E152" t="s">
        <v>527</v>
      </c>
    </row>
    <row r="153" spans="1:5" x14ac:dyDescent="0.25">
      <c r="A153">
        <v>152</v>
      </c>
      <c r="B153" t="s">
        <v>528</v>
      </c>
      <c r="C153" t="s">
        <v>282</v>
      </c>
      <c r="E153" t="s">
        <v>529</v>
      </c>
    </row>
    <row r="154" spans="1:5" x14ac:dyDescent="0.25">
      <c r="A154">
        <v>153</v>
      </c>
      <c r="B154" t="s">
        <v>530</v>
      </c>
      <c r="C154" t="s">
        <v>531</v>
      </c>
      <c r="D154" t="s">
        <v>532</v>
      </c>
      <c r="E154" t="s">
        <v>533</v>
      </c>
    </row>
    <row r="155" spans="1:5" x14ac:dyDescent="0.25">
      <c r="A155">
        <v>154</v>
      </c>
      <c r="B155" t="s">
        <v>534</v>
      </c>
      <c r="C155" t="s">
        <v>168</v>
      </c>
      <c r="D155" t="s">
        <v>457</v>
      </c>
      <c r="E155" t="s">
        <v>535</v>
      </c>
    </row>
    <row r="156" spans="1:5" x14ac:dyDescent="0.25">
      <c r="A156">
        <v>155</v>
      </c>
      <c r="B156" t="s">
        <v>536</v>
      </c>
      <c r="C156" t="s">
        <v>246</v>
      </c>
      <c r="D156" t="s">
        <v>514</v>
      </c>
      <c r="E156" t="s">
        <v>537</v>
      </c>
    </row>
    <row r="157" spans="1:5" x14ac:dyDescent="0.25">
      <c r="A157">
        <v>156</v>
      </c>
      <c r="B157" t="s">
        <v>538</v>
      </c>
      <c r="C157" t="s">
        <v>282</v>
      </c>
      <c r="E157" t="s">
        <v>539</v>
      </c>
    </row>
    <row r="158" spans="1:5" x14ac:dyDescent="0.25">
      <c r="A158">
        <v>157</v>
      </c>
      <c r="B158" t="s">
        <v>540</v>
      </c>
      <c r="C158" t="s">
        <v>343</v>
      </c>
      <c r="D158" t="s">
        <v>488</v>
      </c>
      <c r="E158" t="s">
        <v>541</v>
      </c>
    </row>
    <row r="159" spans="1:5" x14ac:dyDescent="0.25">
      <c r="A159">
        <v>158</v>
      </c>
      <c r="B159" t="s">
        <v>542</v>
      </c>
      <c r="C159" t="s">
        <v>543</v>
      </c>
      <c r="D159" t="s">
        <v>484</v>
      </c>
      <c r="E159" t="s">
        <v>544</v>
      </c>
    </row>
    <row r="160" spans="1:5" x14ac:dyDescent="0.25">
      <c r="A160">
        <v>159</v>
      </c>
      <c r="B160" t="s">
        <v>545</v>
      </c>
      <c r="C160" t="s">
        <v>271</v>
      </c>
      <c r="D160" t="s">
        <v>514</v>
      </c>
      <c r="E160" t="s">
        <v>546</v>
      </c>
    </row>
    <row r="161" spans="1:5" x14ac:dyDescent="0.25">
      <c r="A161">
        <v>160</v>
      </c>
      <c r="B161" t="s">
        <v>547</v>
      </c>
      <c r="C161" t="s">
        <v>548</v>
      </c>
      <c r="D161" t="s">
        <v>457</v>
      </c>
      <c r="E161" t="s">
        <v>549</v>
      </c>
    </row>
    <row r="162" spans="1:5" x14ac:dyDescent="0.25">
      <c r="A162">
        <v>161</v>
      </c>
      <c r="B162" t="s">
        <v>550</v>
      </c>
      <c r="C162" t="s">
        <v>265</v>
      </c>
      <c r="D162" t="s">
        <v>484</v>
      </c>
      <c r="E162" t="s">
        <v>551</v>
      </c>
    </row>
    <row r="163" spans="1:5" x14ac:dyDescent="0.25">
      <c r="A163">
        <v>162</v>
      </c>
      <c r="B163" t="s">
        <v>552</v>
      </c>
      <c r="C163" t="s">
        <v>427</v>
      </c>
      <c r="D163" t="s">
        <v>457</v>
      </c>
      <c r="E163" t="s">
        <v>553</v>
      </c>
    </row>
    <row r="164" spans="1:5" x14ac:dyDescent="0.25">
      <c r="A164">
        <v>163</v>
      </c>
      <c r="B164" t="s">
        <v>554</v>
      </c>
      <c r="C164" t="s">
        <v>282</v>
      </c>
      <c r="E164" t="s">
        <v>555</v>
      </c>
    </row>
    <row r="165" spans="1:5" x14ac:dyDescent="0.25">
      <c r="A165">
        <v>164</v>
      </c>
      <c r="B165" t="s">
        <v>556</v>
      </c>
      <c r="C165" t="s">
        <v>368</v>
      </c>
      <c r="D165" t="s">
        <v>488</v>
      </c>
      <c r="E165" t="s">
        <v>557</v>
      </c>
    </row>
    <row r="166" spans="1:5" x14ac:dyDescent="0.25">
      <c r="A166">
        <v>165</v>
      </c>
      <c r="B166" t="s">
        <v>558</v>
      </c>
      <c r="C166" t="s">
        <v>559</v>
      </c>
      <c r="D166" t="s">
        <v>560</v>
      </c>
      <c r="E166" t="s">
        <v>561</v>
      </c>
    </row>
    <row r="167" spans="1:5" x14ac:dyDescent="0.25">
      <c r="A167">
        <v>166</v>
      </c>
      <c r="B167" t="s">
        <v>562</v>
      </c>
      <c r="C167" t="s">
        <v>374</v>
      </c>
      <c r="D167" t="s">
        <v>484</v>
      </c>
      <c r="E167" t="s">
        <v>563</v>
      </c>
    </row>
    <row r="168" spans="1:5" x14ac:dyDescent="0.25">
      <c r="A168">
        <v>167</v>
      </c>
      <c r="B168" t="s">
        <v>564</v>
      </c>
      <c r="C168" t="s">
        <v>282</v>
      </c>
      <c r="E168" t="s">
        <v>565</v>
      </c>
    </row>
    <row r="169" spans="1:5" x14ac:dyDescent="0.25">
      <c r="A169">
        <v>168</v>
      </c>
      <c r="B169" t="s">
        <v>566</v>
      </c>
      <c r="C169" t="s">
        <v>379</v>
      </c>
      <c r="D169" t="s">
        <v>457</v>
      </c>
      <c r="E169" t="s">
        <v>567</v>
      </c>
    </row>
    <row r="170" spans="1:5" x14ac:dyDescent="0.25">
      <c r="A170">
        <v>169</v>
      </c>
      <c r="B170" t="s">
        <v>568</v>
      </c>
      <c r="C170" t="s">
        <v>282</v>
      </c>
      <c r="E170" t="s">
        <v>569</v>
      </c>
    </row>
    <row r="171" spans="1:5" x14ac:dyDescent="0.25">
      <c r="A171">
        <v>170</v>
      </c>
      <c r="B171" t="s">
        <v>570</v>
      </c>
      <c r="C171" t="s">
        <v>384</v>
      </c>
      <c r="D171" t="s">
        <v>532</v>
      </c>
      <c r="E171" t="s">
        <v>571</v>
      </c>
    </row>
    <row r="172" spans="1:5" x14ac:dyDescent="0.25">
      <c r="A172">
        <v>171</v>
      </c>
      <c r="B172" t="s">
        <v>572</v>
      </c>
      <c r="C172" t="s">
        <v>194</v>
      </c>
      <c r="D172" t="s">
        <v>484</v>
      </c>
      <c r="E172" t="s">
        <v>573</v>
      </c>
    </row>
    <row r="173" spans="1:5" x14ac:dyDescent="0.25">
      <c r="A173">
        <v>172</v>
      </c>
      <c r="B173" t="s">
        <v>574</v>
      </c>
      <c r="C173" t="s">
        <v>282</v>
      </c>
      <c r="E173" t="s">
        <v>575</v>
      </c>
    </row>
    <row r="174" spans="1:5" x14ac:dyDescent="0.25">
      <c r="A174">
        <v>173</v>
      </c>
      <c r="B174" t="s">
        <v>576</v>
      </c>
      <c r="C174" t="s">
        <v>282</v>
      </c>
      <c r="E174" t="s">
        <v>577</v>
      </c>
    </row>
    <row r="175" spans="1:5" x14ac:dyDescent="0.25">
      <c r="A175">
        <v>174</v>
      </c>
      <c r="B175" t="s">
        <v>578</v>
      </c>
      <c r="C175" t="s">
        <v>282</v>
      </c>
      <c r="E175" t="s">
        <v>579</v>
      </c>
    </row>
    <row r="176" spans="1:5" x14ac:dyDescent="0.25">
      <c r="A176">
        <v>175</v>
      </c>
      <c r="B176" t="s">
        <v>580</v>
      </c>
      <c r="C176" t="s">
        <v>282</v>
      </c>
      <c r="E176" t="s">
        <v>581</v>
      </c>
    </row>
    <row r="177" spans="1:5" x14ac:dyDescent="0.25">
      <c r="A177">
        <v>176</v>
      </c>
      <c r="B177" t="s">
        <v>582</v>
      </c>
      <c r="C177" t="s">
        <v>583</v>
      </c>
      <c r="D177" t="s">
        <v>584</v>
      </c>
      <c r="E177" t="s">
        <v>585</v>
      </c>
    </row>
    <row r="178" spans="1:5" x14ac:dyDescent="0.25">
      <c r="A178">
        <v>177</v>
      </c>
      <c r="B178" t="s">
        <v>586</v>
      </c>
      <c r="C178" t="s">
        <v>282</v>
      </c>
      <c r="E178" t="s">
        <v>587</v>
      </c>
    </row>
    <row r="179" spans="1:5" x14ac:dyDescent="0.25">
      <c r="A179">
        <v>178</v>
      </c>
      <c r="B179" t="s">
        <v>588</v>
      </c>
      <c r="C179" t="s">
        <v>249</v>
      </c>
      <c r="D179" t="s">
        <v>457</v>
      </c>
      <c r="E179" t="s">
        <v>589</v>
      </c>
    </row>
    <row r="180" spans="1:5" x14ac:dyDescent="0.25">
      <c r="A180">
        <v>179</v>
      </c>
      <c r="B180" t="s">
        <v>590</v>
      </c>
      <c r="C180" t="s">
        <v>168</v>
      </c>
      <c r="D180" t="s">
        <v>560</v>
      </c>
      <c r="E180" t="s">
        <v>591</v>
      </c>
    </row>
    <row r="181" spans="1:5" x14ac:dyDescent="0.25">
      <c r="A181">
        <v>180</v>
      </c>
      <c r="B181" t="s">
        <v>592</v>
      </c>
      <c r="C181" t="s">
        <v>282</v>
      </c>
      <c r="E181" t="s">
        <v>593</v>
      </c>
    </row>
    <row r="182" spans="1:5" x14ac:dyDescent="0.25">
      <c r="A182">
        <v>181</v>
      </c>
      <c r="B182" t="s">
        <v>594</v>
      </c>
      <c r="C182" t="s">
        <v>282</v>
      </c>
      <c r="E182" t="s">
        <v>595</v>
      </c>
    </row>
    <row r="183" spans="1:5" x14ac:dyDescent="0.25">
      <c r="A183">
        <v>182</v>
      </c>
      <c r="B183" t="s">
        <v>596</v>
      </c>
      <c r="C183" t="s">
        <v>543</v>
      </c>
      <c r="D183" t="s">
        <v>457</v>
      </c>
      <c r="E183" t="s">
        <v>597</v>
      </c>
    </row>
    <row r="184" spans="1:5" x14ac:dyDescent="0.25">
      <c r="A184">
        <v>183</v>
      </c>
      <c r="B184" t="s">
        <v>598</v>
      </c>
      <c r="C184" t="s">
        <v>271</v>
      </c>
      <c r="D184" t="s">
        <v>560</v>
      </c>
      <c r="E184" t="s">
        <v>599</v>
      </c>
    </row>
    <row r="185" spans="1:5" x14ac:dyDescent="0.25">
      <c r="A185">
        <v>184</v>
      </c>
      <c r="B185" t="s">
        <v>600</v>
      </c>
      <c r="C185" t="s">
        <v>282</v>
      </c>
      <c r="E185" t="s">
        <v>601</v>
      </c>
    </row>
    <row r="186" spans="1:5" x14ac:dyDescent="0.25">
      <c r="A186">
        <v>185</v>
      </c>
      <c r="B186" t="s">
        <v>602</v>
      </c>
      <c r="C186" t="s">
        <v>282</v>
      </c>
      <c r="E186" t="s">
        <v>603</v>
      </c>
    </row>
    <row r="187" spans="1:5" x14ac:dyDescent="0.25">
      <c r="A187">
        <v>186</v>
      </c>
      <c r="B187" t="s">
        <v>604</v>
      </c>
      <c r="C187" t="s">
        <v>427</v>
      </c>
      <c r="D187" t="s">
        <v>560</v>
      </c>
      <c r="E187" t="s">
        <v>605</v>
      </c>
    </row>
    <row r="188" spans="1:5" x14ac:dyDescent="0.25">
      <c r="A188">
        <v>187</v>
      </c>
      <c r="B188" t="s">
        <v>606</v>
      </c>
      <c r="C188" t="s">
        <v>282</v>
      </c>
      <c r="E188" t="s">
        <v>607</v>
      </c>
    </row>
    <row r="189" spans="1:5" x14ac:dyDescent="0.25">
      <c r="A189">
        <v>188</v>
      </c>
      <c r="B189" t="s">
        <v>608</v>
      </c>
      <c r="C189" t="s">
        <v>609</v>
      </c>
      <c r="D189" t="s">
        <v>484</v>
      </c>
      <c r="E189" t="s">
        <v>610</v>
      </c>
    </row>
    <row r="190" spans="1:5" x14ac:dyDescent="0.25">
      <c r="A190">
        <v>189</v>
      </c>
      <c r="B190" t="s">
        <v>611</v>
      </c>
      <c r="C190" t="s">
        <v>282</v>
      </c>
      <c r="E190" t="s">
        <v>612</v>
      </c>
    </row>
    <row r="191" spans="1:5" x14ac:dyDescent="0.25">
      <c r="A191">
        <v>190</v>
      </c>
      <c r="B191" t="s">
        <v>613</v>
      </c>
      <c r="C191" t="s">
        <v>282</v>
      </c>
      <c r="E191" t="s">
        <v>614</v>
      </c>
    </row>
    <row r="192" spans="1:5" x14ac:dyDescent="0.25">
      <c r="A192">
        <v>191</v>
      </c>
      <c r="B192" t="s">
        <v>615</v>
      </c>
      <c r="C192" t="s">
        <v>282</v>
      </c>
      <c r="E192" t="s">
        <v>616</v>
      </c>
    </row>
    <row r="193" spans="1:5" x14ac:dyDescent="0.25">
      <c r="A193">
        <v>192</v>
      </c>
      <c r="B193" t="s">
        <v>617</v>
      </c>
      <c r="C193" t="s">
        <v>194</v>
      </c>
      <c r="D193" t="s">
        <v>560</v>
      </c>
      <c r="E193" t="s">
        <v>618</v>
      </c>
    </row>
    <row r="194" spans="1:5" x14ac:dyDescent="0.25">
      <c r="A194">
        <v>193</v>
      </c>
      <c r="B194" t="s">
        <v>619</v>
      </c>
      <c r="C194" t="s">
        <v>620</v>
      </c>
      <c r="D194" t="s">
        <v>457</v>
      </c>
      <c r="E194" t="s">
        <v>621</v>
      </c>
    </row>
    <row r="195" spans="1:5" x14ac:dyDescent="0.25">
      <c r="A195">
        <v>194</v>
      </c>
      <c r="B195" t="s">
        <v>622</v>
      </c>
      <c r="C195" t="s">
        <v>282</v>
      </c>
      <c r="E195" t="s">
        <v>623</v>
      </c>
    </row>
    <row r="196" spans="1:5" x14ac:dyDescent="0.25">
      <c r="A196">
        <v>195</v>
      </c>
      <c r="B196" t="s">
        <v>624</v>
      </c>
      <c r="C196" t="s">
        <v>168</v>
      </c>
      <c r="D196" t="s">
        <v>514</v>
      </c>
      <c r="E196" t="s">
        <v>625</v>
      </c>
    </row>
    <row r="197" spans="1:5" x14ac:dyDescent="0.25">
      <c r="A197">
        <v>196</v>
      </c>
      <c r="B197" t="s">
        <v>626</v>
      </c>
      <c r="C197" t="s">
        <v>543</v>
      </c>
      <c r="D197" t="s">
        <v>560</v>
      </c>
      <c r="E197" t="s">
        <v>627</v>
      </c>
    </row>
    <row r="198" spans="1:5" x14ac:dyDescent="0.25">
      <c r="A198">
        <v>197</v>
      </c>
      <c r="B198" t="s">
        <v>628</v>
      </c>
      <c r="C198" t="s">
        <v>271</v>
      </c>
      <c r="D198" t="s">
        <v>457</v>
      </c>
      <c r="E198" t="s">
        <v>629</v>
      </c>
    </row>
    <row r="199" spans="1:5" x14ac:dyDescent="0.25">
      <c r="A199">
        <v>198</v>
      </c>
      <c r="B199" t="s">
        <v>630</v>
      </c>
      <c r="C199" t="s">
        <v>282</v>
      </c>
      <c r="E199" t="s">
        <v>631</v>
      </c>
    </row>
    <row r="200" spans="1:5" x14ac:dyDescent="0.25">
      <c r="A200">
        <v>199</v>
      </c>
      <c r="B200" t="s">
        <v>632</v>
      </c>
      <c r="C200" t="s">
        <v>633</v>
      </c>
      <c r="D200" t="s">
        <v>634</v>
      </c>
      <c r="E200" t="s">
        <v>635</v>
      </c>
    </row>
    <row r="201" spans="1:5" x14ac:dyDescent="0.25">
      <c r="A201">
        <v>200</v>
      </c>
      <c r="B201" t="s">
        <v>636</v>
      </c>
      <c r="C201" t="s">
        <v>194</v>
      </c>
      <c r="D201" t="s">
        <v>634</v>
      </c>
      <c r="E201" t="s">
        <v>637</v>
      </c>
    </row>
    <row r="202" spans="1:5" x14ac:dyDescent="0.25">
      <c r="A202">
        <v>201</v>
      </c>
      <c r="B202" t="s">
        <v>638</v>
      </c>
      <c r="C202" t="s">
        <v>282</v>
      </c>
      <c r="E202" t="s">
        <v>639</v>
      </c>
    </row>
    <row r="203" spans="1:5" x14ac:dyDescent="0.25">
      <c r="A203">
        <v>202</v>
      </c>
      <c r="B203" t="s">
        <v>640</v>
      </c>
      <c r="C203" t="s">
        <v>282</v>
      </c>
      <c r="E203" t="s">
        <v>641</v>
      </c>
    </row>
    <row r="204" spans="1:5" x14ac:dyDescent="0.25">
      <c r="A204">
        <v>203</v>
      </c>
      <c r="B204" t="s">
        <v>642</v>
      </c>
      <c r="C204" t="s">
        <v>543</v>
      </c>
      <c r="D204" t="s">
        <v>634</v>
      </c>
      <c r="E204" t="s">
        <v>643</v>
      </c>
    </row>
    <row r="205" spans="1:5" x14ac:dyDescent="0.25">
      <c r="A205">
        <v>204</v>
      </c>
      <c r="B205" t="s">
        <v>644</v>
      </c>
      <c r="C205" t="s">
        <v>282</v>
      </c>
      <c r="E205" t="s">
        <v>645</v>
      </c>
    </row>
    <row r="206" spans="1:5" x14ac:dyDescent="0.25">
      <c r="A206">
        <v>205</v>
      </c>
      <c r="B206" t="s">
        <v>646</v>
      </c>
      <c r="C206" t="s">
        <v>647</v>
      </c>
      <c r="D206" t="s">
        <v>648</v>
      </c>
      <c r="E206" t="s">
        <v>649</v>
      </c>
    </row>
    <row r="207" spans="1:5" x14ac:dyDescent="0.25">
      <c r="A207">
        <v>206</v>
      </c>
      <c r="B207" t="s">
        <v>650</v>
      </c>
      <c r="C207" t="s">
        <v>282</v>
      </c>
      <c r="E207" t="s">
        <v>651</v>
      </c>
    </row>
    <row r="208" spans="1:5" x14ac:dyDescent="0.25">
      <c r="A208">
        <v>207</v>
      </c>
      <c r="B208" t="s">
        <v>652</v>
      </c>
      <c r="C208" t="s">
        <v>282</v>
      </c>
      <c r="E208" t="s">
        <v>93</v>
      </c>
    </row>
    <row r="209" spans="1:5" x14ac:dyDescent="0.25">
      <c r="A209">
        <v>208</v>
      </c>
      <c r="B209" t="s">
        <v>653</v>
      </c>
      <c r="C209" t="s">
        <v>184</v>
      </c>
      <c r="D209" t="s">
        <v>560</v>
      </c>
      <c r="E209" t="s">
        <v>93</v>
      </c>
    </row>
    <row r="210" spans="1:5" x14ac:dyDescent="0.25">
      <c r="A210">
        <v>209</v>
      </c>
      <c r="B210" t="s">
        <v>654</v>
      </c>
      <c r="C210" t="s">
        <v>655</v>
      </c>
      <c r="D210" t="s">
        <v>656</v>
      </c>
      <c r="E210" t="s">
        <v>115</v>
      </c>
    </row>
    <row r="211" spans="1:5" x14ac:dyDescent="0.25">
      <c r="A211">
        <v>210</v>
      </c>
      <c r="B211" t="s">
        <v>657</v>
      </c>
      <c r="C211" t="s">
        <v>405</v>
      </c>
      <c r="D211" t="s">
        <v>457</v>
      </c>
      <c r="E211" t="s">
        <v>115</v>
      </c>
    </row>
    <row r="212" spans="1:5" x14ac:dyDescent="0.25">
      <c r="A212">
        <v>211</v>
      </c>
      <c r="B212" t="s">
        <v>658</v>
      </c>
      <c r="C212" t="s">
        <v>282</v>
      </c>
      <c r="E212" t="s">
        <v>56</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A60C0-528C-4CE4-8F63-53A36CDD42AC}">
  <sheetPr codeName="Feuil7"/>
  <dimension ref="A1:J8"/>
  <sheetViews>
    <sheetView zoomScale="145" zoomScaleNormal="145" workbookViewId="0">
      <selection activeCell="E5" sqref="E5"/>
    </sheetView>
  </sheetViews>
  <sheetFormatPr baseColWidth="10" defaultRowHeight="15" x14ac:dyDescent="0.25"/>
  <cols>
    <col min="1" max="1" width="7.85546875" bestFit="1" customWidth="1"/>
    <col min="2" max="2" width="23.140625" bestFit="1" customWidth="1"/>
    <col min="3" max="3" width="22.42578125" bestFit="1" customWidth="1"/>
    <col min="4" max="4" width="19.140625" bestFit="1" customWidth="1"/>
    <col min="5" max="5" width="24.28515625" bestFit="1" customWidth="1"/>
    <col min="6" max="6" width="22.28515625" bestFit="1" customWidth="1"/>
    <col min="7" max="8" width="7.85546875" bestFit="1" customWidth="1"/>
    <col min="9" max="9" width="6.85546875" bestFit="1" customWidth="1"/>
    <col min="10" max="13" width="7.85546875" bestFit="1" customWidth="1"/>
  </cols>
  <sheetData>
    <row r="1" spans="1:10" x14ac:dyDescent="0.25">
      <c r="A1" s="2" t="s">
        <v>5</v>
      </c>
      <c r="B1" s="2" t="s">
        <v>75</v>
      </c>
      <c r="C1" s="2" t="s">
        <v>76</v>
      </c>
      <c r="D1" s="2" t="s">
        <v>77</v>
      </c>
      <c r="E1" s="2" t="s">
        <v>78</v>
      </c>
      <c r="F1" s="2" t="s">
        <v>63</v>
      </c>
    </row>
    <row r="2" spans="1:10" x14ac:dyDescent="0.25">
      <c r="A2" t="s">
        <v>3</v>
      </c>
      <c r="B2">
        <v>1</v>
      </c>
      <c r="C2">
        <v>0</v>
      </c>
      <c r="D2">
        <v>1</v>
      </c>
      <c r="E2">
        <v>0</v>
      </c>
      <c r="F2" t="s">
        <v>86</v>
      </c>
    </row>
    <row r="3" spans="1:10" x14ac:dyDescent="0.25">
      <c r="A3" t="s">
        <v>13</v>
      </c>
      <c r="B3">
        <v>1</v>
      </c>
      <c r="C3">
        <v>0</v>
      </c>
      <c r="D3">
        <v>10.75</v>
      </c>
      <c r="E3">
        <v>7.8</v>
      </c>
      <c r="F3" t="s">
        <v>14</v>
      </c>
      <c r="G3" t="s">
        <v>16</v>
      </c>
      <c r="H3" t="s">
        <v>20</v>
      </c>
    </row>
    <row r="4" spans="1:10" x14ac:dyDescent="0.25">
      <c r="A4" t="s">
        <v>62</v>
      </c>
      <c r="B4">
        <v>1.22</v>
      </c>
      <c r="C4">
        <v>0.44</v>
      </c>
      <c r="D4">
        <v>10.44</v>
      </c>
      <c r="E4">
        <v>5.61</v>
      </c>
      <c r="F4" t="s">
        <v>19</v>
      </c>
      <c r="G4" t="s">
        <v>80</v>
      </c>
      <c r="H4" t="s">
        <v>89</v>
      </c>
      <c r="I4" t="s">
        <v>2</v>
      </c>
      <c r="J4" t="s">
        <v>84</v>
      </c>
    </row>
    <row r="5" spans="1:10" x14ac:dyDescent="0.25">
      <c r="A5" t="s">
        <v>73</v>
      </c>
      <c r="B5">
        <v>1.25</v>
      </c>
      <c r="C5">
        <v>0.45</v>
      </c>
      <c r="D5">
        <v>9.83</v>
      </c>
      <c r="E5">
        <v>5.36</v>
      </c>
      <c r="F5" t="s">
        <v>18</v>
      </c>
      <c r="G5" t="s">
        <v>87</v>
      </c>
      <c r="H5" t="s">
        <v>81</v>
      </c>
    </row>
    <row r="6" spans="1:10" x14ac:dyDescent="0.25">
      <c r="A6" t="s">
        <v>98</v>
      </c>
      <c r="B6">
        <v>1.23</v>
      </c>
      <c r="C6">
        <v>0.44</v>
      </c>
      <c r="D6">
        <v>9.31</v>
      </c>
      <c r="E6">
        <v>5.47</v>
      </c>
      <c r="F6" t="s">
        <v>83</v>
      </c>
    </row>
    <row r="7" spans="1:10" x14ac:dyDescent="0.25">
      <c r="A7" t="s">
        <v>99</v>
      </c>
      <c r="B7">
        <v>1.35</v>
      </c>
      <c r="C7">
        <v>0.61</v>
      </c>
      <c r="D7">
        <v>9.2899999999999991</v>
      </c>
      <c r="E7">
        <v>5.18</v>
      </c>
      <c r="F7" t="s">
        <v>21</v>
      </c>
      <c r="G7" t="s">
        <v>88</v>
      </c>
      <c r="H7" t="s">
        <v>4</v>
      </c>
      <c r="I7" t="s">
        <v>17</v>
      </c>
    </row>
    <row r="8" spans="1:10" x14ac:dyDescent="0.25">
      <c r="A8" t="s">
        <v>100</v>
      </c>
      <c r="B8">
        <v>1.3</v>
      </c>
      <c r="C8">
        <v>0.56999999999999995</v>
      </c>
      <c r="D8">
        <v>9.4</v>
      </c>
      <c r="E8">
        <v>4.84</v>
      </c>
      <c r="F8" t="s">
        <v>15</v>
      </c>
      <c r="G8" t="s">
        <v>82</v>
      </c>
      <c r="H8" t="s">
        <v>85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57585-9693-41CA-8BCE-1EBF4153073C}">
  <sheetPr codeName="Feuil5"/>
  <dimension ref="A1:D104"/>
  <sheetViews>
    <sheetView zoomScale="130" zoomScaleNormal="130" workbookViewId="0">
      <selection activeCell="I15" sqref="I15"/>
    </sheetView>
  </sheetViews>
  <sheetFormatPr baseColWidth="10" defaultRowHeight="15" x14ac:dyDescent="0.25"/>
  <cols>
    <col min="1" max="1" width="8.140625" bestFit="1" customWidth="1"/>
    <col min="2" max="2" width="21.85546875" bestFit="1" customWidth="1"/>
    <col min="3" max="3" width="13.85546875" bestFit="1" customWidth="1"/>
    <col min="4" max="4" width="10.5703125" bestFit="1" customWidth="1"/>
  </cols>
  <sheetData>
    <row r="1" spans="1:4" x14ac:dyDescent="0.25">
      <c r="A1" s="2" t="s">
        <v>0</v>
      </c>
      <c r="B1" s="2" t="s">
        <v>22</v>
      </c>
      <c r="C1" s="2" t="s">
        <v>23</v>
      </c>
      <c r="D1" s="2" t="s">
        <v>48</v>
      </c>
    </row>
    <row r="2" spans="1:4" x14ac:dyDescent="0.25">
      <c r="A2" t="s">
        <v>2</v>
      </c>
      <c r="B2" t="s">
        <v>62</v>
      </c>
      <c r="C2">
        <v>2</v>
      </c>
      <c r="D2" t="s">
        <v>49</v>
      </c>
    </row>
    <row r="3" spans="1:4" x14ac:dyDescent="0.25">
      <c r="A3" t="s">
        <v>4</v>
      </c>
      <c r="B3" t="s">
        <v>99</v>
      </c>
      <c r="C3">
        <v>2</v>
      </c>
      <c r="D3" t="s">
        <v>49</v>
      </c>
    </row>
    <row r="4" spans="1:4" x14ac:dyDescent="0.25">
      <c r="A4" t="s">
        <v>14</v>
      </c>
      <c r="B4" t="s">
        <v>13</v>
      </c>
      <c r="C4">
        <v>1</v>
      </c>
      <c r="D4" t="s">
        <v>49</v>
      </c>
    </row>
    <row r="5" spans="1:4" x14ac:dyDescent="0.25">
      <c r="A5" t="s">
        <v>15</v>
      </c>
      <c r="B5" t="s">
        <v>100</v>
      </c>
      <c r="C5">
        <v>1</v>
      </c>
      <c r="D5" t="s">
        <v>49</v>
      </c>
    </row>
    <row r="6" spans="1:4" x14ac:dyDescent="0.25">
      <c r="A6" t="s">
        <v>16</v>
      </c>
      <c r="B6" t="s">
        <v>13</v>
      </c>
      <c r="C6">
        <v>1</v>
      </c>
      <c r="D6" t="s">
        <v>49</v>
      </c>
    </row>
    <row r="7" spans="1:4" x14ac:dyDescent="0.25">
      <c r="A7" t="s">
        <v>17</v>
      </c>
      <c r="B7" s="2" t="s">
        <v>99</v>
      </c>
      <c r="C7" s="2">
        <v>3</v>
      </c>
      <c r="D7" t="s">
        <v>49</v>
      </c>
    </row>
    <row r="8" spans="1:4" x14ac:dyDescent="0.25">
      <c r="A8" t="s">
        <v>18</v>
      </c>
      <c r="B8" s="2" t="s">
        <v>73</v>
      </c>
      <c r="C8" s="2">
        <v>1</v>
      </c>
      <c r="D8" t="s">
        <v>49</v>
      </c>
    </row>
    <row r="9" spans="1:4" x14ac:dyDescent="0.25">
      <c r="A9" t="s">
        <v>19</v>
      </c>
      <c r="B9" s="2" t="s">
        <v>62</v>
      </c>
      <c r="C9" s="2">
        <v>1</v>
      </c>
      <c r="D9" t="s">
        <v>49</v>
      </c>
    </row>
    <row r="10" spans="1:4" x14ac:dyDescent="0.25">
      <c r="A10" t="s">
        <v>20</v>
      </c>
      <c r="B10" t="s">
        <v>13</v>
      </c>
      <c r="C10">
        <v>1</v>
      </c>
      <c r="D10" t="s">
        <v>49</v>
      </c>
    </row>
    <row r="11" spans="1:4" x14ac:dyDescent="0.25">
      <c r="A11" t="s">
        <v>21</v>
      </c>
      <c r="B11" t="s">
        <v>99</v>
      </c>
      <c r="C11">
        <v>1</v>
      </c>
      <c r="D11" t="s">
        <v>49</v>
      </c>
    </row>
    <row r="12" spans="1:4" x14ac:dyDescent="0.25">
      <c r="A12" t="s">
        <v>80</v>
      </c>
      <c r="B12" t="s">
        <v>62</v>
      </c>
      <c r="C12">
        <v>1</v>
      </c>
      <c r="D12" t="s">
        <v>49</v>
      </c>
    </row>
    <row r="13" spans="1:4" x14ac:dyDescent="0.25">
      <c r="A13" t="s">
        <v>81</v>
      </c>
      <c r="B13" s="2" t="s">
        <v>73</v>
      </c>
      <c r="C13" s="2">
        <v>2</v>
      </c>
      <c r="D13" t="s">
        <v>49</v>
      </c>
    </row>
    <row r="14" spans="1:4" x14ac:dyDescent="0.25">
      <c r="A14" t="s">
        <v>82</v>
      </c>
      <c r="B14" s="2" t="s">
        <v>100</v>
      </c>
      <c r="C14" s="2">
        <v>1</v>
      </c>
      <c r="D14" t="s">
        <v>49</v>
      </c>
    </row>
    <row r="15" spans="1:4" x14ac:dyDescent="0.25">
      <c r="A15" t="s">
        <v>83</v>
      </c>
      <c r="B15" t="s">
        <v>98</v>
      </c>
      <c r="C15">
        <v>1</v>
      </c>
      <c r="D15" t="s">
        <v>49</v>
      </c>
    </row>
    <row r="16" spans="1:4" x14ac:dyDescent="0.25">
      <c r="A16" t="s">
        <v>84</v>
      </c>
      <c r="B16" t="s">
        <v>62</v>
      </c>
      <c r="C16">
        <v>2</v>
      </c>
      <c r="D16" t="s">
        <v>49</v>
      </c>
    </row>
    <row r="17" spans="1:4" x14ac:dyDescent="0.25">
      <c r="A17" t="s">
        <v>85</v>
      </c>
      <c r="B17" t="s">
        <v>100</v>
      </c>
      <c r="C17">
        <v>1</v>
      </c>
      <c r="D17" t="s">
        <v>49</v>
      </c>
    </row>
    <row r="18" spans="1:4" x14ac:dyDescent="0.25">
      <c r="A18" t="s">
        <v>86</v>
      </c>
      <c r="B18" s="2" t="s">
        <v>3</v>
      </c>
      <c r="C18" s="2">
        <v>1</v>
      </c>
      <c r="D18" t="s">
        <v>49</v>
      </c>
    </row>
    <row r="19" spans="1:4" x14ac:dyDescent="0.25">
      <c r="A19" t="s">
        <v>87</v>
      </c>
      <c r="B19" s="2" t="s">
        <v>73</v>
      </c>
      <c r="C19" s="2">
        <v>1</v>
      </c>
      <c r="D19" t="s">
        <v>49</v>
      </c>
    </row>
    <row r="20" spans="1:4" x14ac:dyDescent="0.25">
      <c r="A20" t="s">
        <v>88</v>
      </c>
      <c r="B20" t="s">
        <v>99</v>
      </c>
      <c r="C20">
        <v>1</v>
      </c>
      <c r="D20" t="s">
        <v>49</v>
      </c>
    </row>
    <row r="21" spans="1:4" x14ac:dyDescent="0.25">
      <c r="A21" t="s">
        <v>89</v>
      </c>
      <c r="B21" t="s">
        <v>62</v>
      </c>
      <c r="C21">
        <v>1</v>
      </c>
      <c r="D21" t="s">
        <v>49</v>
      </c>
    </row>
    <row r="23" spans="1:4" x14ac:dyDescent="0.25">
      <c r="B23" s="2" t="s">
        <v>24</v>
      </c>
      <c r="C23" s="2">
        <v>1.3</v>
      </c>
    </row>
    <row r="24" spans="1:4" x14ac:dyDescent="0.25">
      <c r="B24" s="2" t="s">
        <v>25</v>
      </c>
      <c r="C24" s="2">
        <v>0.56999999999999995</v>
      </c>
    </row>
    <row r="28" spans="1:4" x14ac:dyDescent="0.25">
      <c r="B28" s="2"/>
      <c r="C28" s="2"/>
    </row>
    <row r="29" spans="1:4" x14ac:dyDescent="0.25">
      <c r="B29" s="2"/>
      <c r="C29" s="2"/>
    </row>
    <row r="31" spans="1:4" x14ac:dyDescent="0.25">
      <c r="B31" s="2"/>
      <c r="C31" s="2"/>
    </row>
    <row r="32" spans="1:4" x14ac:dyDescent="0.25">
      <c r="B32" s="2"/>
      <c r="C32" s="2"/>
    </row>
    <row r="33" spans="2:3" x14ac:dyDescent="0.25">
      <c r="B33" s="2"/>
      <c r="C33" s="2"/>
    </row>
    <row r="34" spans="2:3" x14ac:dyDescent="0.25">
      <c r="B34" s="2"/>
      <c r="C34" s="2"/>
    </row>
    <row r="43" spans="2:3" x14ac:dyDescent="0.25">
      <c r="B43" s="2"/>
      <c r="C43" s="2"/>
    </row>
    <row r="44" spans="2:3" x14ac:dyDescent="0.25">
      <c r="B44" s="2"/>
      <c r="C44" s="2"/>
    </row>
    <row r="59" spans="2:3" x14ac:dyDescent="0.25">
      <c r="B59" s="2"/>
      <c r="C59" s="2"/>
    </row>
    <row r="60" spans="2:3" x14ac:dyDescent="0.25">
      <c r="B60" s="2"/>
      <c r="C60" s="2"/>
    </row>
    <row r="93" spans="2:3" x14ac:dyDescent="0.25">
      <c r="B93" s="2"/>
      <c r="C93" s="2"/>
    </row>
    <row r="94" spans="2:3" x14ac:dyDescent="0.25">
      <c r="B94" s="2"/>
      <c r="C94" s="2"/>
    </row>
    <row r="103" spans="2:3" x14ac:dyDescent="0.25">
      <c r="B103" s="2"/>
      <c r="C103" s="2"/>
    </row>
    <row r="104" spans="2:3" x14ac:dyDescent="0.25">
      <c r="B104" s="2"/>
      <c r="C104" s="2"/>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EA161-955E-444E-8E58-6D41412FDD4A}">
  <sheetPr codeName="Feuil8"/>
  <dimension ref="A1:B26"/>
  <sheetViews>
    <sheetView showGridLines="0" zoomScale="130" zoomScaleNormal="130" workbookViewId="0">
      <selection activeCell="B6" sqref="B6"/>
    </sheetView>
  </sheetViews>
  <sheetFormatPr baseColWidth="10" defaultRowHeight="15" x14ac:dyDescent="0.25"/>
  <cols>
    <col min="1" max="1" width="35.7109375" customWidth="1"/>
    <col min="2" max="2" width="15.7109375" customWidth="1"/>
  </cols>
  <sheetData>
    <row r="1" spans="1:2" x14ac:dyDescent="0.25">
      <c r="A1" s="7" t="s">
        <v>31</v>
      </c>
      <c r="B1" s="8"/>
    </row>
    <row r="2" spans="1:2" x14ac:dyDescent="0.25">
      <c r="A2" s="4"/>
      <c r="B2" s="4"/>
    </row>
    <row r="3" spans="1:2" x14ac:dyDescent="0.25">
      <c r="A3" s="4" t="s">
        <v>32</v>
      </c>
      <c r="B3" s="4">
        <v>20</v>
      </c>
    </row>
    <row r="4" spans="1:2" x14ac:dyDescent="0.25">
      <c r="A4" s="4" t="s">
        <v>33</v>
      </c>
      <c r="B4" s="4">
        <v>20</v>
      </c>
    </row>
    <row r="5" spans="1:2" x14ac:dyDescent="0.25">
      <c r="A5" s="4" t="s">
        <v>34</v>
      </c>
      <c r="B5" s="4">
        <v>0</v>
      </c>
    </row>
    <row r="6" spans="1:2" x14ac:dyDescent="0.25">
      <c r="A6" s="4" t="s">
        <v>35</v>
      </c>
      <c r="B6" s="4" t="s">
        <v>36</v>
      </c>
    </row>
    <row r="7" spans="1:2" x14ac:dyDescent="0.25">
      <c r="A7" s="4"/>
      <c r="B7" s="4"/>
    </row>
    <row r="8" spans="1:2" x14ac:dyDescent="0.25">
      <c r="A8" s="4" t="s">
        <v>37</v>
      </c>
      <c r="B8" s="4">
        <v>1.3</v>
      </c>
    </row>
    <row r="9" spans="1:2" x14ac:dyDescent="0.25">
      <c r="A9" s="4" t="s">
        <v>38</v>
      </c>
      <c r="B9" s="4">
        <v>0.56999999999999995</v>
      </c>
    </row>
    <row r="10" spans="1:2" x14ac:dyDescent="0.25">
      <c r="A10" s="4"/>
      <c r="B10" s="4"/>
    </row>
    <row r="11" spans="1:2" x14ac:dyDescent="0.25">
      <c r="A11" s="4" t="s">
        <v>39</v>
      </c>
      <c r="B11" s="4">
        <v>15</v>
      </c>
    </row>
    <row r="12" spans="1:2" x14ac:dyDescent="0.25">
      <c r="A12" s="4" t="s">
        <v>40</v>
      </c>
      <c r="B12" s="4">
        <v>4</v>
      </c>
    </row>
    <row r="13" spans="1:2" x14ac:dyDescent="0.25">
      <c r="A13" s="4" t="s">
        <v>41</v>
      </c>
      <c r="B13" s="4">
        <v>1</v>
      </c>
    </row>
    <row r="14" spans="1:2" x14ac:dyDescent="0.25">
      <c r="A14" s="4"/>
      <c r="B14" s="4"/>
    </row>
    <row r="15" spans="1:2" x14ac:dyDescent="0.25">
      <c r="A15" s="4"/>
      <c r="B15" s="4"/>
    </row>
    <row r="16" spans="1:2" x14ac:dyDescent="0.25">
      <c r="A16" s="7" t="s">
        <v>42</v>
      </c>
      <c r="B16" s="8"/>
    </row>
    <row r="17" spans="1:2" x14ac:dyDescent="0.25">
      <c r="A17" s="4"/>
      <c r="B17" s="4"/>
    </row>
    <row r="18" spans="1:2" x14ac:dyDescent="0.25">
      <c r="A18" s="4" t="s">
        <v>43</v>
      </c>
      <c r="B18" s="4">
        <v>7</v>
      </c>
    </row>
    <row r="19" spans="1:2" x14ac:dyDescent="0.25">
      <c r="A19" s="4" t="s">
        <v>44</v>
      </c>
      <c r="B19" s="4">
        <v>7</v>
      </c>
    </row>
    <row r="20" spans="1:2" x14ac:dyDescent="0.25">
      <c r="A20" s="4" t="s">
        <v>57</v>
      </c>
      <c r="B20" s="4" t="s">
        <v>36</v>
      </c>
    </row>
    <row r="21" spans="1:2" x14ac:dyDescent="0.25">
      <c r="A21" s="4"/>
      <c r="B21" s="4"/>
    </row>
    <row r="22" spans="1:2" x14ac:dyDescent="0.25">
      <c r="A22" s="4" t="s">
        <v>45</v>
      </c>
      <c r="B22" s="4">
        <v>20</v>
      </c>
    </row>
    <row r="23" spans="1:2" x14ac:dyDescent="0.25">
      <c r="A23" s="4" t="s">
        <v>46</v>
      </c>
      <c r="B23" s="4">
        <v>28</v>
      </c>
    </row>
    <row r="24" spans="1:2" x14ac:dyDescent="0.25">
      <c r="A24" s="4" t="s">
        <v>47</v>
      </c>
      <c r="B24" s="4" t="s">
        <v>112</v>
      </c>
    </row>
    <row r="26" spans="1:2" x14ac:dyDescent="0.25">
      <c r="A26" s="5" t="s">
        <v>70</v>
      </c>
    </row>
  </sheetData>
  <mergeCells count="2">
    <mergeCell ref="A1:B1"/>
    <mergeCell ref="A16:B16"/>
  </mergeCells>
  <hyperlinks>
    <hyperlink ref="A26" location="'Details_Suivi'!A1" display="Cliquer ici pour voir les listes de suivi détaillées" xr:uid="{B9BBFB27-2959-4114-8893-EA70D0D1A48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6312FD-E37A-443A-B48A-122C962B2424}">
  <sheetPr codeName="Feuil10"/>
  <dimension ref="A1:B7"/>
  <sheetViews>
    <sheetView workbookViewId="0"/>
  </sheetViews>
  <sheetFormatPr baseColWidth="10" defaultRowHeight="15" x14ac:dyDescent="0.25"/>
  <cols>
    <col min="1" max="2" width="35.7109375" customWidth="1"/>
  </cols>
  <sheetData>
    <row r="1" spans="1:2" x14ac:dyDescent="0.25">
      <c r="A1" s="2" t="s">
        <v>71</v>
      </c>
    </row>
    <row r="3" spans="1:2" x14ac:dyDescent="0.25">
      <c r="A3" s="2" t="s">
        <v>67</v>
      </c>
      <c r="B3" t="s">
        <v>56</v>
      </c>
    </row>
    <row r="5" spans="1:2" x14ac:dyDescent="0.25">
      <c r="A5" s="2" t="s">
        <v>68</v>
      </c>
      <c r="B5" t="s">
        <v>56</v>
      </c>
    </row>
    <row r="7" spans="1:2" x14ac:dyDescent="0.25">
      <c r="A7" s="2" t="s">
        <v>69</v>
      </c>
      <c r="B7" t="s">
        <v>56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868EE-B1B8-447B-89AC-C343E36B1F6E}">
  <sheetPr codeName="Feuil9"/>
  <dimension ref="A1:I31"/>
  <sheetViews>
    <sheetView workbookViewId="0"/>
  </sheetViews>
  <sheetFormatPr baseColWidth="10" defaultRowHeight="15" x14ac:dyDescent="0.25"/>
  <cols>
    <col min="1" max="1" width="7.85546875" bestFit="1" customWidth="1"/>
    <col min="2" max="2" width="17.140625" bestFit="1" customWidth="1"/>
    <col min="3" max="3" width="12.7109375" bestFit="1" customWidth="1"/>
    <col min="4" max="4" width="22.140625" bestFit="1" customWidth="1"/>
    <col min="5" max="10" width="7.85546875" bestFit="1" customWidth="1"/>
    <col min="11" max="23" width="7.7109375" bestFit="1" customWidth="1"/>
  </cols>
  <sheetData>
    <row r="1" spans="1:9" x14ac:dyDescent="0.25">
      <c r="A1" s="2" t="s">
        <v>0</v>
      </c>
      <c r="B1" s="2" t="s">
        <v>58</v>
      </c>
      <c r="C1" s="2" t="s">
        <v>60</v>
      </c>
      <c r="D1" s="2" t="s">
        <v>59</v>
      </c>
    </row>
    <row r="2" spans="1:9" x14ac:dyDescent="0.25">
      <c r="A2" t="s">
        <v>2</v>
      </c>
      <c r="B2" t="s">
        <v>13</v>
      </c>
      <c r="C2">
        <f>IFERROR(MATCH($B2, $D2:$CV2, 0), "Non trouvé")</f>
        <v>5</v>
      </c>
      <c r="D2" t="s">
        <v>98</v>
      </c>
      <c r="E2" t="s">
        <v>99</v>
      </c>
      <c r="F2" t="s">
        <v>3</v>
      </c>
      <c r="G2" t="s">
        <v>62</v>
      </c>
      <c r="H2" t="s">
        <v>13</v>
      </c>
      <c r="I2" t="s">
        <v>73</v>
      </c>
    </row>
    <row r="3" spans="1:9" x14ac:dyDescent="0.25">
      <c r="A3" t="s">
        <v>4</v>
      </c>
      <c r="B3" t="s">
        <v>73</v>
      </c>
      <c r="C3">
        <f>IFERROR(MATCH($B3, $D3:$CV3, 0), "Non trouvé")</f>
        <v>1</v>
      </c>
      <c r="D3" t="s">
        <v>73</v>
      </c>
      <c r="E3" t="s">
        <v>13</v>
      </c>
      <c r="F3" t="s">
        <v>98</v>
      </c>
      <c r="G3" t="s">
        <v>3</v>
      </c>
      <c r="H3" t="s">
        <v>62</v>
      </c>
      <c r="I3" t="s">
        <v>99</v>
      </c>
    </row>
    <row r="4" spans="1:9" x14ac:dyDescent="0.25">
      <c r="A4" t="s">
        <v>14</v>
      </c>
      <c r="B4" t="s">
        <v>13</v>
      </c>
      <c r="C4">
        <f>IFERROR(MATCH($B4, $D4:$CV4, 0), "Non trouvé")</f>
        <v>4</v>
      </c>
      <c r="D4" t="s">
        <v>62</v>
      </c>
      <c r="E4" t="s">
        <v>98</v>
      </c>
      <c r="F4" t="s">
        <v>73</v>
      </c>
      <c r="G4" t="s">
        <v>13</v>
      </c>
      <c r="H4" t="s">
        <v>99</v>
      </c>
      <c r="I4" t="s">
        <v>3</v>
      </c>
    </row>
    <row r="5" spans="1:9" x14ac:dyDescent="0.25">
      <c r="A5" t="s">
        <v>15</v>
      </c>
      <c r="B5" t="s">
        <v>99</v>
      </c>
      <c r="C5">
        <f>IFERROR(MATCH($B5, $D5:$CV5, 0), "Non trouvé")</f>
        <v>2</v>
      </c>
      <c r="D5" t="s">
        <v>3</v>
      </c>
      <c r="E5" t="s">
        <v>99</v>
      </c>
      <c r="F5" t="s">
        <v>98</v>
      </c>
      <c r="G5" t="s">
        <v>73</v>
      </c>
      <c r="H5" t="s">
        <v>62</v>
      </c>
      <c r="I5" t="s">
        <v>13</v>
      </c>
    </row>
    <row r="6" spans="1:9" x14ac:dyDescent="0.25">
      <c r="A6" t="s">
        <v>16</v>
      </c>
      <c r="B6" t="s">
        <v>13</v>
      </c>
      <c r="C6">
        <f>IFERROR(MATCH($B6, $D6:$CV6, 0), "Non trouvé")</f>
        <v>2</v>
      </c>
      <c r="D6" t="s">
        <v>62</v>
      </c>
      <c r="E6" t="s">
        <v>13</v>
      </c>
      <c r="F6" t="s">
        <v>99</v>
      </c>
      <c r="G6" t="s">
        <v>98</v>
      </c>
      <c r="H6" t="s">
        <v>73</v>
      </c>
      <c r="I6" t="s">
        <v>3</v>
      </c>
    </row>
    <row r="7" spans="1:9" x14ac:dyDescent="0.25">
      <c r="A7" t="s">
        <v>17</v>
      </c>
      <c r="B7" t="s">
        <v>13</v>
      </c>
      <c r="C7">
        <f>IFERROR(MATCH($B7, $D7:$CV7, 0), "Non trouvé")</f>
        <v>1</v>
      </c>
      <c r="D7" t="s">
        <v>13</v>
      </c>
      <c r="E7" t="s">
        <v>73</v>
      </c>
      <c r="F7" t="s">
        <v>3</v>
      </c>
      <c r="G7" t="s">
        <v>99</v>
      </c>
      <c r="H7" t="s">
        <v>98</v>
      </c>
      <c r="I7" t="s">
        <v>62</v>
      </c>
    </row>
    <row r="8" spans="1:9" x14ac:dyDescent="0.25">
      <c r="A8" t="s">
        <v>18</v>
      </c>
      <c r="B8" t="s">
        <v>98</v>
      </c>
      <c r="C8">
        <f>IFERROR(MATCH($B8, $D8:$CV8, 0), "Non trouvé")</f>
        <v>1</v>
      </c>
      <c r="D8" t="s">
        <v>98</v>
      </c>
      <c r="E8" t="s">
        <v>3</v>
      </c>
      <c r="F8" t="s">
        <v>62</v>
      </c>
      <c r="G8" t="s">
        <v>13</v>
      </c>
      <c r="H8" t="s">
        <v>73</v>
      </c>
      <c r="I8" t="s">
        <v>99</v>
      </c>
    </row>
    <row r="9" spans="1:9" x14ac:dyDescent="0.25">
      <c r="A9" t="s">
        <v>19</v>
      </c>
      <c r="B9" t="s">
        <v>62</v>
      </c>
      <c r="C9">
        <f>IFERROR(MATCH($B9, $D9:$CV9, 0), "Non trouvé")</f>
        <v>4</v>
      </c>
      <c r="D9" t="s">
        <v>73</v>
      </c>
      <c r="E9" t="s">
        <v>98</v>
      </c>
      <c r="F9" t="s">
        <v>99</v>
      </c>
      <c r="G9" t="s">
        <v>62</v>
      </c>
      <c r="H9" t="s">
        <v>13</v>
      </c>
      <c r="I9" t="s">
        <v>3</v>
      </c>
    </row>
    <row r="10" spans="1:9" x14ac:dyDescent="0.25">
      <c r="A10" t="s">
        <v>20</v>
      </c>
      <c r="B10" t="s">
        <v>62</v>
      </c>
      <c r="C10">
        <f>IFERROR(MATCH($B10, $D10:$CV10, 0), "Non trouvé")</f>
        <v>6</v>
      </c>
      <c r="D10" t="s">
        <v>99</v>
      </c>
      <c r="E10" t="s">
        <v>73</v>
      </c>
      <c r="F10" t="s">
        <v>3</v>
      </c>
      <c r="G10" t="s">
        <v>13</v>
      </c>
      <c r="H10" t="s">
        <v>98</v>
      </c>
      <c r="I10" t="s">
        <v>62</v>
      </c>
    </row>
    <row r="11" spans="1:9" x14ac:dyDescent="0.25">
      <c r="A11" t="s">
        <v>21</v>
      </c>
      <c r="B11" t="s">
        <v>13</v>
      </c>
      <c r="C11">
        <f>IFERROR(MATCH($B11, $D11:$CV11, 0), "Non trouvé")</f>
        <v>1</v>
      </c>
      <c r="D11" t="s">
        <v>13</v>
      </c>
      <c r="E11" t="s">
        <v>99</v>
      </c>
      <c r="F11" t="s">
        <v>98</v>
      </c>
      <c r="G11" t="s">
        <v>62</v>
      </c>
      <c r="H11" t="s">
        <v>73</v>
      </c>
      <c r="I11" t="s">
        <v>3</v>
      </c>
    </row>
    <row r="12" spans="1:9" x14ac:dyDescent="0.25">
      <c r="A12" t="s">
        <v>80</v>
      </c>
      <c r="B12" t="s">
        <v>13</v>
      </c>
      <c r="C12">
        <f>IFERROR(MATCH($B12, $D12:$CV12, 0), "Non trouvé")</f>
        <v>6</v>
      </c>
      <c r="D12" t="s">
        <v>99</v>
      </c>
      <c r="E12" t="s">
        <v>62</v>
      </c>
      <c r="F12" t="s">
        <v>73</v>
      </c>
      <c r="G12" t="s">
        <v>98</v>
      </c>
      <c r="H12" t="s">
        <v>3</v>
      </c>
      <c r="I12" t="s">
        <v>13</v>
      </c>
    </row>
    <row r="13" spans="1:9" x14ac:dyDescent="0.25">
      <c r="A13" t="s">
        <v>81</v>
      </c>
      <c r="B13" t="s">
        <v>99</v>
      </c>
      <c r="C13">
        <f>IFERROR(MATCH($B13, $D13:$CV13, 0), "Non trouvé")</f>
        <v>4</v>
      </c>
      <c r="D13" t="s">
        <v>13</v>
      </c>
      <c r="E13" t="s">
        <v>98</v>
      </c>
      <c r="F13" t="s">
        <v>62</v>
      </c>
      <c r="G13" t="s">
        <v>99</v>
      </c>
      <c r="H13" t="s">
        <v>73</v>
      </c>
      <c r="I13" t="s">
        <v>3</v>
      </c>
    </row>
    <row r="14" spans="1:9" x14ac:dyDescent="0.25">
      <c r="A14" t="s">
        <v>82</v>
      </c>
      <c r="B14" t="s">
        <v>3</v>
      </c>
      <c r="C14">
        <f>IFERROR(MATCH($B14, $D14:$CV14, 0), "Non trouvé")</f>
        <v>1</v>
      </c>
      <c r="D14" t="s">
        <v>3</v>
      </c>
      <c r="E14" t="s">
        <v>73</v>
      </c>
      <c r="F14" t="s">
        <v>99</v>
      </c>
      <c r="G14" t="s">
        <v>13</v>
      </c>
      <c r="H14" t="s">
        <v>62</v>
      </c>
      <c r="I14" t="s">
        <v>98</v>
      </c>
    </row>
    <row r="15" spans="1:9" x14ac:dyDescent="0.25">
      <c r="A15" t="s">
        <v>83</v>
      </c>
      <c r="B15" t="s">
        <v>98</v>
      </c>
      <c r="C15">
        <f>IFERROR(MATCH($B15, $D15:$CV15, 0), "Non trouvé")</f>
        <v>3</v>
      </c>
      <c r="D15" t="s">
        <v>62</v>
      </c>
      <c r="E15" t="s">
        <v>99</v>
      </c>
      <c r="F15" t="s">
        <v>98</v>
      </c>
      <c r="G15" t="s">
        <v>3</v>
      </c>
      <c r="H15" t="s">
        <v>73</v>
      </c>
      <c r="I15" t="s">
        <v>13</v>
      </c>
    </row>
    <row r="16" spans="1:9" x14ac:dyDescent="0.25">
      <c r="A16" t="s">
        <v>84</v>
      </c>
      <c r="B16" t="s">
        <v>13</v>
      </c>
      <c r="C16">
        <f>IFERROR(MATCH($B16, $D16:$CV16, 0), "Non trouvé")</f>
        <v>2</v>
      </c>
      <c r="D16" t="s">
        <v>99</v>
      </c>
      <c r="E16" t="s">
        <v>13</v>
      </c>
      <c r="F16" t="s">
        <v>62</v>
      </c>
      <c r="G16" t="s">
        <v>98</v>
      </c>
      <c r="H16" t="s">
        <v>3</v>
      </c>
      <c r="I16" t="s">
        <v>73</v>
      </c>
    </row>
    <row r="17" spans="1:9" x14ac:dyDescent="0.25">
      <c r="A17" t="s">
        <v>85</v>
      </c>
      <c r="B17" t="s">
        <v>3</v>
      </c>
      <c r="C17">
        <f>IFERROR(MATCH($B17, $D17:$CV17, 0), "Non trouvé")</f>
        <v>3</v>
      </c>
      <c r="D17" t="s">
        <v>73</v>
      </c>
      <c r="E17" t="s">
        <v>98</v>
      </c>
      <c r="F17" t="s">
        <v>3</v>
      </c>
      <c r="G17" t="s">
        <v>62</v>
      </c>
      <c r="H17" t="s">
        <v>99</v>
      </c>
      <c r="I17" t="s">
        <v>13</v>
      </c>
    </row>
    <row r="18" spans="1:9" x14ac:dyDescent="0.25">
      <c r="A18" t="s">
        <v>86</v>
      </c>
      <c r="B18" t="s">
        <v>98</v>
      </c>
      <c r="C18">
        <f>IFERROR(MATCH($B18, $D18:$CV18, 0), "Non trouvé")</f>
        <v>1</v>
      </c>
      <c r="D18" t="s">
        <v>98</v>
      </c>
      <c r="E18" t="s">
        <v>99</v>
      </c>
      <c r="F18" t="s">
        <v>62</v>
      </c>
      <c r="G18" t="s">
        <v>73</v>
      </c>
      <c r="H18" t="s">
        <v>13</v>
      </c>
      <c r="I18" t="s">
        <v>3</v>
      </c>
    </row>
    <row r="19" spans="1:9" x14ac:dyDescent="0.25">
      <c r="A19" t="s">
        <v>87</v>
      </c>
      <c r="B19" t="s">
        <v>99</v>
      </c>
      <c r="C19">
        <f>IFERROR(MATCH($B19, $D19:$CV19, 0), "Non trouvé")</f>
        <v>5</v>
      </c>
      <c r="D19" t="s">
        <v>13</v>
      </c>
      <c r="E19" t="s">
        <v>73</v>
      </c>
      <c r="F19" t="s">
        <v>98</v>
      </c>
      <c r="G19" t="s">
        <v>3</v>
      </c>
      <c r="H19" t="s">
        <v>99</v>
      </c>
      <c r="I19" t="s">
        <v>62</v>
      </c>
    </row>
    <row r="20" spans="1:9" x14ac:dyDescent="0.25">
      <c r="A20" t="s">
        <v>88</v>
      </c>
      <c r="B20" t="s">
        <v>98</v>
      </c>
      <c r="C20">
        <f>IFERROR(MATCH($B20, $D20:$CV20, 0), "Non trouvé")</f>
        <v>1</v>
      </c>
      <c r="D20" t="s">
        <v>98</v>
      </c>
      <c r="E20" t="s">
        <v>3</v>
      </c>
      <c r="F20" t="s">
        <v>99</v>
      </c>
      <c r="G20" t="s">
        <v>13</v>
      </c>
      <c r="H20" t="s">
        <v>62</v>
      </c>
      <c r="I20" t="s">
        <v>73</v>
      </c>
    </row>
    <row r="21" spans="1:9" x14ac:dyDescent="0.25">
      <c r="A21" t="s">
        <v>89</v>
      </c>
      <c r="B21" t="s">
        <v>13</v>
      </c>
      <c r="C21">
        <f>IFERROR(MATCH($B21, $D21:$CV21, 0), "Non trouvé")</f>
        <v>2</v>
      </c>
      <c r="D21" t="s">
        <v>99</v>
      </c>
      <c r="E21" t="s">
        <v>13</v>
      </c>
      <c r="F21" t="s">
        <v>73</v>
      </c>
      <c r="G21" t="s">
        <v>98</v>
      </c>
      <c r="H21" t="s">
        <v>3</v>
      </c>
      <c r="I21" t="s">
        <v>62</v>
      </c>
    </row>
    <row r="22" spans="1:9" x14ac:dyDescent="0.25">
      <c r="A22" t="s">
        <v>90</v>
      </c>
      <c r="B22" t="s">
        <v>99</v>
      </c>
      <c r="C22">
        <f>IFERROR(MATCH($B22, $D22:$CV22, 0), "Non trouvé")</f>
        <v>4</v>
      </c>
      <c r="D22" t="s">
        <v>13</v>
      </c>
      <c r="E22" t="s">
        <v>3</v>
      </c>
      <c r="F22" t="s">
        <v>98</v>
      </c>
      <c r="G22" t="s">
        <v>99</v>
      </c>
      <c r="H22" t="s">
        <v>62</v>
      </c>
      <c r="I22" t="s">
        <v>73</v>
      </c>
    </row>
    <row r="23" spans="1:9" x14ac:dyDescent="0.25">
      <c r="A23" t="s">
        <v>91</v>
      </c>
      <c r="B23" t="s">
        <v>98</v>
      </c>
      <c r="C23">
        <f>IFERROR(MATCH($B23, $D23:$CV23, 0), "Non trouvé")</f>
        <v>4</v>
      </c>
      <c r="D23" t="s">
        <v>62</v>
      </c>
      <c r="E23" t="s">
        <v>13</v>
      </c>
      <c r="F23" t="s">
        <v>73</v>
      </c>
      <c r="G23" t="s">
        <v>98</v>
      </c>
      <c r="H23" t="s">
        <v>99</v>
      </c>
      <c r="I23" t="s">
        <v>3</v>
      </c>
    </row>
    <row r="24" spans="1:9" x14ac:dyDescent="0.25">
      <c r="A24" t="s">
        <v>92</v>
      </c>
      <c r="B24" t="s">
        <v>99</v>
      </c>
      <c r="C24">
        <f>IFERROR(MATCH($B24, $D24:$CV24, 0), "Non trouvé")</f>
        <v>3</v>
      </c>
      <c r="D24" t="s">
        <v>3</v>
      </c>
      <c r="E24" t="s">
        <v>73</v>
      </c>
      <c r="F24" t="s">
        <v>99</v>
      </c>
      <c r="G24" t="s">
        <v>62</v>
      </c>
      <c r="H24" t="s">
        <v>98</v>
      </c>
      <c r="I24" t="s">
        <v>13</v>
      </c>
    </row>
    <row r="25" spans="1:9" x14ac:dyDescent="0.25">
      <c r="A25" t="s">
        <v>93</v>
      </c>
      <c r="B25" t="s">
        <v>62</v>
      </c>
      <c r="C25">
        <f>IFERROR(MATCH($B25, $D25:$CV25, 0), "Non trouvé")</f>
        <v>3</v>
      </c>
      <c r="D25" t="s">
        <v>99</v>
      </c>
      <c r="E25" t="s">
        <v>98</v>
      </c>
      <c r="F25" t="s">
        <v>62</v>
      </c>
      <c r="G25" t="s">
        <v>73</v>
      </c>
      <c r="H25" t="s">
        <v>13</v>
      </c>
      <c r="I25" t="s">
        <v>3</v>
      </c>
    </row>
    <row r="26" spans="1:9" x14ac:dyDescent="0.25">
      <c r="A26" t="s">
        <v>94</v>
      </c>
      <c r="B26" t="s">
        <v>3</v>
      </c>
      <c r="C26">
        <f>IFERROR(MATCH($B26, $D26:$CV26, 0), "Non trouvé")</f>
        <v>3</v>
      </c>
      <c r="D26" t="s">
        <v>73</v>
      </c>
      <c r="E26" t="s">
        <v>99</v>
      </c>
      <c r="F26" t="s">
        <v>3</v>
      </c>
      <c r="G26" t="s">
        <v>62</v>
      </c>
      <c r="H26" t="s">
        <v>98</v>
      </c>
      <c r="I26" t="s">
        <v>13</v>
      </c>
    </row>
    <row r="27" spans="1:9" x14ac:dyDescent="0.25">
      <c r="A27" t="s">
        <v>95</v>
      </c>
      <c r="B27" t="s">
        <v>98</v>
      </c>
      <c r="C27">
        <f>IFERROR(MATCH($B27, $D27:$CV27, 0), "Non trouvé")</f>
        <v>4</v>
      </c>
      <c r="D27" t="s">
        <v>3</v>
      </c>
      <c r="E27" t="s">
        <v>13</v>
      </c>
      <c r="F27" t="s">
        <v>99</v>
      </c>
      <c r="G27" t="s">
        <v>98</v>
      </c>
      <c r="H27" t="s">
        <v>73</v>
      </c>
      <c r="I27" t="s">
        <v>62</v>
      </c>
    </row>
    <row r="28" spans="1:9" x14ac:dyDescent="0.25">
      <c r="A28" t="s">
        <v>96</v>
      </c>
      <c r="B28" t="s">
        <v>669</v>
      </c>
      <c r="C28" t="s">
        <v>670</v>
      </c>
      <c r="D28" t="s">
        <v>62</v>
      </c>
      <c r="E28" t="s">
        <v>99</v>
      </c>
      <c r="F28" t="s">
        <v>73</v>
      </c>
      <c r="G28" t="s">
        <v>3</v>
      </c>
      <c r="H28" t="s">
        <v>98</v>
      </c>
      <c r="I28" t="s">
        <v>13</v>
      </c>
    </row>
    <row r="29" spans="1:9" x14ac:dyDescent="0.25">
      <c r="A29" t="s">
        <v>97</v>
      </c>
      <c r="B29" t="s">
        <v>99</v>
      </c>
      <c r="C29">
        <f>IFERROR(MATCH($B29, $D29:$CV29, 0), "Non trouvé")</f>
        <v>3</v>
      </c>
      <c r="D29" t="s">
        <v>98</v>
      </c>
      <c r="E29" t="s">
        <v>62</v>
      </c>
      <c r="F29" t="s">
        <v>99</v>
      </c>
      <c r="G29" t="s">
        <v>73</v>
      </c>
      <c r="H29" t="s">
        <v>13</v>
      </c>
      <c r="I29" t="s">
        <v>3</v>
      </c>
    </row>
    <row r="30" spans="1:9" x14ac:dyDescent="0.25">
      <c r="A30" t="s">
        <v>113</v>
      </c>
      <c r="B30" t="s">
        <v>99</v>
      </c>
      <c r="C30">
        <f>IFERROR(MATCH($B30, $D30:$CV30, 0), "Non trouvé")</f>
        <v>2</v>
      </c>
      <c r="D30" t="s">
        <v>13</v>
      </c>
      <c r="E30" t="s">
        <v>99</v>
      </c>
      <c r="F30" t="s">
        <v>73</v>
      </c>
      <c r="G30" t="s">
        <v>3</v>
      </c>
      <c r="H30" t="s">
        <v>62</v>
      </c>
      <c r="I30" t="s">
        <v>98</v>
      </c>
    </row>
    <row r="31" spans="1:9" x14ac:dyDescent="0.25">
      <c r="A31" t="s">
        <v>114</v>
      </c>
      <c r="B31" t="s">
        <v>3</v>
      </c>
      <c r="C31">
        <f>IFERROR(MATCH($B31, $D31:$CV31, 0), "Non trouvé")</f>
        <v>2</v>
      </c>
      <c r="D31" t="s">
        <v>62</v>
      </c>
      <c r="E31" t="s">
        <v>3</v>
      </c>
      <c r="F31" t="s">
        <v>13</v>
      </c>
      <c r="G31" t="s">
        <v>73</v>
      </c>
      <c r="H31" t="s">
        <v>98</v>
      </c>
      <c r="I31" t="s">
        <v>99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F5482-EC42-48C7-A537-BA8E604DB765}">
  <sheetPr codeName="Feuil11"/>
  <dimension ref="A1"/>
  <sheetViews>
    <sheetView showGridLines="0" workbookViewId="0">
      <selection activeCell="L30" sqref="L30"/>
    </sheetView>
  </sheetViews>
  <sheetFormatPr baseColWidth="10" defaultRowHeight="15"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11</vt:i4>
      </vt:variant>
    </vt:vector>
  </HeadingPairs>
  <TitlesOfParts>
    <vt:vector size="11" baseType="lpstr">
      <vt:lpstr>Home</vt:lpstr>
      <vt:lpstr>Préférences_Élèves</vt:lpstr>
      <vt:lpstr>Préférences_Projets</vt:lpstr>
      <vt:lpstr>Résultats</vt:lpstr>
      <vt:lpstr>Log_Affectation</vt:lpstr>
      <vt:lpstr>Affectations_par_Projet</vt:lpstr>
      <vt:lpstr>Rapport_Satisfaction</vt:lpstr>
      <vt:lpstr>Bilan_Performance</vt:lpstr>
      <vt:lpstr>Details_Suivi</vt:lpstr>
      <vt:lpstr>Verification_Finale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Valéry Farcy</dc:creator>
  <cp:lastModifiedBy>FARCY Valery</cp:lastModifiedBy>
  <dcterms:created xsi:type="dcterms:W3CDTF">2025-06-26T15:59:08Z</dcterms:created>
  <dcterms:modified xsi:type="dcterms:W3CDTF">2026-07-23T08:08:28Z</dcterms:modified>
</cp:coreProperties>
</file>