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etesiea-my.sharepoint.com/personal/valery_farcy_esiea_fr/Documents/Dev/GaylShapleyXLS/"/>
    </mc:Choice>
  </mc:AlternateContent>
  <xr:revisionPtr revIDLastSave="266209" documentId="8_{97D89E17-79FF-43A7-A7D2-0CABDDFFC954}" xr6:coauthVersionLast="47" xr6:coauthVersionMax="47" xr10:uidLastSave="{87389DE8-8D37-498D-BA8B-AA867B5C7BE7}"/>
  <bookViews>
    <workbookView xWindow="28680" yWindow="-120" windowWidth="29040" windowHeight="15720" tabRatio="590" activeTab="4" xr2:uid="{5F19B94E-CCE0-4071-A7C5-FECEEFAC3327}"/>
  </bookViews>
  <sheets>
    <sheet name="Home" sheetId="1" r:id="rId1"/>
    <sheet name="Préférences_Élèves" sheetId="2" r:id="rId2"/>
    <sheet name="Préférences_Projets" sheetId="3" r:id="rId3"/>
    <sheet name="Résultats" sheetId="10" r:id="rId4"/>
    <sheet name="Log_Affectation" sheetId="7" r:id="rId5"/>
    <sheet name="Affectations_par_Projet" sheetId="8" r:id="rId6"/>
    <sheet name="Rapport_Satisfaction" sheetId="6" r:id="rId7"/>
    <sheet name="Bilan_Performance" sheetId="11" r:id="rId8"/>
    <sheet name="Details_Suivi" sheetId="14" r:id="rId9"/>
    <sheet name="Verification_Finale" sheetId="13" r:id="rId10"/>
    <sheet name="Dashboard" sheetId="15" r:id="rId11"/>
    <sheet name="Équipes" sheetId="16" r:id="rId12"/>
    <sheet name="Préférences_Équipes" sheetId="17" r:id="rId1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1" i="13" l="1"/>
  <c r="C30" i="13"/>
  <c r="C29" i="13"/>
  <c r="C27" i="13"/>
  <c r="C26" i="13"/>
  <c r="C25" i="13"/>
  <c r="C24" i="13"/>
  <c r="C23" i="13"/>
  <c r="C22" i="13"/>
  <c r="C21" i="13"/>
  <c r="C20" i="13"/>
  <c r="C19" i="13"/>
  <c r="C18" i="13"/>
  <c r="C17" i="13"/>
  <c r="C16" i="13"/>
  <c r="C15" i="13"/>
  <c r="C14" i="13"/>
  <c r="C13" i="13"/>
  <c r="C12" i="13"/>
  <c r="C11" i="13"/>
  <c r="C10" i="13"/>
  <c r="C9" i="13"/>
  <c r="C8" i="13"/>
  <c r="C7" i="13"/>
  <c r="C6" i="13"/>
  <c r="C5" i="13"/>
  <c r="C4" i="13"/>
  <c r="C3" i="13"/>
  <c r="C2"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tc={25C3A222-D39A-45EC-9176-0812B503121E}</author>
  </authors>
  <commentList>
    <comment ref="D16" authorId="0" shapeId="0" xr:uid="{25C3A222-D39A-45EC-9176-0812B503121E}">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Moyenne Satisfaction Élèves : La moyenne des rangs de vœu des élèves de l'équipe. Plus ce chiffre est bas, plus l'équipe est contente d'être là.
Écart-type Satis. Élèves : La dispersion de cette satisfaction.
Moyenne Qualité Équipe : La moyenne des rangs que le projet a donnés aux membres de son équipe. Plus ce chiffre est bas, plus le projet est content de son équipe.
Écart-type Qualité Équipe : La dispersion de cette "qualité".
Membres de l'équipe : La liste des élèves affectés.
</t>
      </text>
    </comment>
  </commentList>
</comments>
</file>

<file path=xl/sharedStrings.xml><?xml version="1.0" encoding="utf-8"?>
<sst xmlns="http://schemas.openxmlformats.org/spreadsheetml/2006/main" count="4533" uniqueCount="352">
  <si>
    <t>Élève</t>
  </si>
  <si>
    <t>Choix 1</t>
  </si>
  <si>
    <t>Élève 1</t>
  </si>
  <si>
    <t>Projet A</t>
  </si>
  <si>
    <t>Élève 2</t>
  </si>
  <si>
    <t>Projet</t>
  </si>
  <si>
    <t>https://gemini.google.com/app/b783535efbd61b74</t>
  </si>
  <si>
    <t>Erreur macro / config du PC : (Frawework .Net3_5 absent)</t>
  </si>
  <si>
    <t>Statut Capacité</t>
  </si>
  <si>
    <t>Choix 2</t>
  </si>
  <si>
    <t>Projet B</t>
  </si>
  <si>
    <t>Élève 3</t>
  </si>
  <si>
    <t>Élève 4</t>
  </si>
  <si>
    <t>Élève 5</t>
  </si>
  <si>
    <t>Élève 6</t>
  </si>
  <si>
    <t>Élève 7</t>
  </si>
  <si>
    <t>Élève 8</t>
  </si>
  <si>
    <t>Élève 9</t>
  </si>
  <si>
    <t>Élève 10</t>
  </si>
  <si>
    <t>Projet Affecté</t>
  </si>
  <si>
    <t>Rang du Choix</t>
  </si>
  <si>
    <t>Satisfaction moyenne :</t>
  </si>
  <si>
    <t>Écart-type des rangs :</t>
  </si>
  <si>
    <t>Résultats</t>
  </si>
  <si>
    <t>Préférences_Projets</t>
  </si>
  <si>
    <t>Préférences_Élèves</t>
  </si>
  <si>
    <t>https://g.co/gemini/share/2ccfcafd0a61</t>
  </si>
  <si>
    <t>Affectations_par_Projet</t>
  </si>
  <si>
    <t>Taux d'affectation</t>
  </si>
  <si>
    <t>100,0%</t>
  </si>
  <si>
    <t>Écart-type des rangs (équité)</t>
  </si>
  <si>
    <t>BILAN DU POINT DE VUE DES PROJETS</t>
  </si>
  <si>
    <t>Nombre total de projets</t>
  </si>
  <si>
    <t>Diagnostic</t>
  </si>
  <si>
    <t>OK</t>
  </si>
  <si>
    <t>Étape</t>
  </si>
  <si>
    <t>Décision du Projet</t>
  </si>
  <si>
    <t>Statut du Projet</t>
  </si>
  <si>
    <t>Le projet a de la place. ACCEPTATION PROVISOIRE.</t>
  </si>
  <si>
    <t>Projet Affecté (lu)</t>
  </si>
  <si>
    <t>Vœux de l'élève (lus) -&gt;</t>
  </si>
  <si>
    <t>Rang Calculé</t>
  </si>
  <si>
    <t>Choix 3</t>
  </si>
  <si>
    <t>Projet C</t>
  </si>
  <si>
    <t>Bilan_Performance</t>
  </si>
  <si>
    <t>Pas  à pas</t>
  </si>
  <si>
    <t>Les affectations par élève</t>
  </si>
  <si>
    <t>Details_Suivi</t>
  </si>
  <si>
    <t>Projet D</t>
  </si>
  <si>
    <t>Choix 4</t>
  </si>
  <si>
    <t>Verification</t>
  </si>
  <si>
    <t>Élève 11</t>
  </si>
  <si>
    <t>Élève 12</t>
  </si>
  <si>
    <t>Élève 13</t>
  </si>
  <si>
    <t>Élève 14</t>
  </si>
  <si>
    <t>Élève 15</t>
  </si>
  <si>
    <t>Élève 16</t>
  </si>
  <si>
    <t>Élève 17</t>
  </si>
  <si>
    <t>Élève 18</t>
  </si>
  <si>
    <t>Élève 19</t>
  </si>
  <si>
    <t>Élève 20</t>
  </si>
  <si>
    <t>Élève 21</t>
  </si>
  <si>
    <t>Élève 22</t>
  </si>
  <si>
    <t>Élève 23</t>
  </si>
  <si>
    <t>Élève 24</t>
  </si>
  <si>
    <t>Élève 25</t>
  </si>
  <si>
    <t>Élève 26</t>
  </si>
  <si>
    <t>Élève 27</t>
  </si>
  <si>
    <t>Élève 28</t>
  </si>
  <si>
    <t>Projet E</t>
  </si>
  <si>
    <t>Projet F</t>
  </si>
  <si>
    <t>Projet G</t>
  </si>
  <si>
    <t>Choix 5</t>
  </si>
  <si>
    <t>Dashboard</t>
  </si>
  <si>
    <t>Élève 29</t>
  </si>
  <si>
    <t>Élève 30</t>
  </si>
  <si>
    <t>Élève 31</t>
  </si>
  <si>
    <t>Choix 6</t>
  </si>
  <si>
    <t>Non affecté</t>
  </si>
  <si>
    <t>N/A</t>
  </si>
  <si>
    <t>Équipe</t>
  </si>
  <si>
    <t>Membre 1</t>
  </si>
  <si>
    <t>Membre 2</t>
  </si>
  <si>
    <t>Membre 3</t>
  </si>
  <si>
    <t>Membre 4</t>
  </si>
  <si>
    <t>Équipe 1</t>
  </si>
  <si>
    <t>Équipe 2</t>
  </si>
  <si>
    <t>Équipe 3</t>
  </si>
  <si>
    <t>MinEquipes</t>
  </si>
  <si>
    <t>MaxEquipes</t>
  </si>
  <si>
    <t>TailleMinEquipe</t>
  </si>
  <si>
    <t>TailleMaxEquipe</t>
  </si>
  <si>
    <t>Action de l'Équipe</t>
  </si>
  <si>
    <t>Équipes libres</t>
  </si>
  <si>
    <t>Aucune</t>
  </si>
  <si>
    <t>Équipes Affectées</t>
  </si>
  <si>
    <t>MINIMUM NON ATTEINT (1/2 équipes)</t>
  </si>
  <si>
    <t>MINIMUM NON ATTEINT (0/2 équipes)</t>
  </si>
  <si>
    <t>BILAN DU POINT DE VUE DES ÉQUIPES</t>
  </si>
  <si>
    <t>Nombre total d'équipes</t>
  </si>
  <si>
    <t>Nombre d'équipes affectées</t>
  </si>
  <si>
    <t>Nombre d'équipes non affectées</t>
  </si>
  <si>
    <t>Satisfaction moyenne (rang du vœu obtenu)</t>
  </si>
  <si>
    <t>Équipes ayant obtenu leur 1er vœu</t>
  </si>
  <si>
    <t>Équipes ayant obtenu leur 2ème vœu</t>
  </si>
  <si>
    <t>Équipes ayant obtenu leur 3ème vœu</t>
  </si>
  <si>
    <t>Projets ayant atteint leur minimum d'équipes</t>
  </si>
  <si>
    <t>Taux de projets satisfaits</t>
  </si>
  <si>
    <t>Voir les listes de suivi détaillées</t>
  </si>
  <si>
    <t>LISTES DE SUIVI</t>
  </si>
  <si>
    <t>Équipes sans projet :</t>
  </si>
  <si>
    <t>Projets n'atteignant pas leur minimum d'équipes :</t>
  </si>
  <si>
    <t>Projets sans aucune équipe :</t>
  </si>
  <si>
    <t>Membres</t>
  </si>
  <si>
    <t>Taille</t>
  </si>
  <si>
    <t>Rang dans projet</t>
  </si>
  <si>
    <t>Choix 7</t>
  </si>
  <si>
    <t>Choix 8</t>
  </si>
  <si>
    <t>Choix 9</t>
  </si>
  <si>
    <t>Choix 10</t>
  </si>
  <si>
    <t>Choix 11</t>
  </si>
  <si>
    <t>Choix 12</t>
  </si>
  <si>
    <t>Choix 13</t>
  </si>
  <si>
    <t>Choix 14</t>
  </si>
  <si>
    <t>Choix 15</t>
  </si>
  <si>
    <t>Choix 16</t>
  </si>
  <si>
    <t>Choix 17</t>
  </si>
  <si>
    <t>Choix 18</t>
  </si>
  <si>
    <t>Choix 19</t>
  </si>
  <si>
    <t>Choix 20</t>
  </si>
  <si>
    <t>Choix 21</t>
  </si>
  <si>
    <t>Élève 32</t>
  </si>
  <si>
    <t>Élève 33</t>
  </si>
  <si>
    <t>Élève 34</t>
  </si>
  <si>
    <t>Élève 35</t>
  </si>
  <si>
    <t>Élève 36</t>
  </si>
  <si>
    <t>Élève 37</t>
  </si>
  <si>
    <t>Élève 38</t>
  </si>
  <si>
    <t>Élève 39</t>
  </si>
  <si>
    <t>Élève 40</t>
  </si>
  <si>
    <t>Élève 41</t>
  </si>
  <si>
    <t>Élève 42</t>
  </si>
  <si>
    <t>Élève 43</t>
  </si>
  <si>
    <t>Élève 44</t>
  </si>
  <si>
    <t>Élève 45</t>
  </si>
  <si>
    <t>Élève 46</t>
  </si>
  <si>
    <t>Élève 47</t>
  </si>
  <si>
    <t>Élève 48</t>
  </si>
  <si>
    <t>Élève 49</t>
  </si>
  <si>
    <t>Élève 50</t>
  </si>
  <si>
    <t>Élève 51</t>
  </si>
  <si>
    <t>Élève 52</t>
  </si>
  <si>
    <t>Élève 53</t>
  </si>
  <si>
    <t>Élève 54</t>
  </si>
  <si>
    <t>Élève 55</t>
  </si>
  <si>
    <t>Élève 56</t>
  </si>
  <si>
    <t>Élève 57</t>
  </si>
  <si>
    <t>Élève 58</t>
  </si>
  <si>
    <t>Élève 59</t>
  </si>
  <si>
    <t>Élève 60</t>
  </si>
  <si>
    <t>Élève 61</t>
  </si>
  <si>
    <t>Élève 62</t>
  </si>
  <si>
    <t>Élève 63</t>
  </si>
  <si>
    <t>Élève 64</t>
  </si>
  <si>
    <t>Élève 65</t>
  </si>
  <si>
    <t>Élève 66</t>
  </si>
  <si>
    <t>Élève 67</t>
  </si>
  <si>
    <t>Élève 68</t>
  </si>
  <si>
    <t>Élève 69</t>
  </si>
  <si>
    <t>Élève 70</t>
  </si>
  <si>
    <t>Élève 71</t>
  </si>
  <si>
    <t>Élève 72</t>
  </si>
  <si>
    <t>Élève 73</t>
  </si>
  <si>
    <t>Élève 74</t>
  </si>
  <si>
    <t>Élève 75</t>
  </si>
  <si>
    <t>Élève 76</t>
  </si>
  <si>
    <t>Élève 77</t>
  </si>
  <si>
    <t>Élève 78</t>
  </si>
  <si>
    <t>Élève 79</t>
  </si>
  <si>
    <t>Élève 80</t>
  </si>
  <si>
    <t>Élève 81</t>
  </si>
  <si>
    <t>Élève 82</t>
  </si>
  <si>
    <t>Élève 83</t>
  </si>
  <si>
    <t>Élève 84</t>
  </si>
  <si>
    <t>Élève 85</t>
  </si>
  <si>
    <t>Élève 86</t>
  </si>
  <si>
    <t>Élève 87</t>
  </si>
  <si>
    <t>Élève 88</t>
  </si>
  <si>
    <t>Élève 89</t>
  </si>
  <si>
    <t>Élève 90</t>
  </si>
  <si>
    <t>Élève 91</t>
  </si>
  <si>
    <t>Élève 92</t>
  </si>
  <si>
    <t>Élève 93</t>
  </si>
  <si>
    <t>Élève 94</t>
  </si>
  <si>
    <t>Élève 95</t>
  </si>
  <si>
    <t>Élève 96</t>
  </si>
  <si>
    <t>Élève 97</t>
  </si>
  <si>
    <t>Élève 98</t>
  </si>
  <si>
    <t>Élève 99</t>
  </si>
  <si>
    <t>Élève 100</t>
  </si>
  <si>
    <t>Élève 101</t>
  </si>
  <si>
    <t>Élève 102</t>
  </si>
  <si>
    <t>Élève 103</t>
  </si>
  <si>
    <t>Élève 104</t>
  </si>
  <si>
    <t>Élève 105</t>
  </si>
  <si>
    <t>Élève 106</t>
  </si>
  <si>
    <t>Élève 107</t>
  </si>
  <si>
    <t>Élève 108</t>
  </si>
  <si>
    <t>Élève 109</t>
  </si>
  <si>
    <t>Élève 110</t>
  </si>
  <si>
    <t>Élève 111</t>
  </si>
  <si>
    <t>Élève 112</t>
  </si>
  <si>
    <t>Élève 113</t>
  </si>
  <si>
    <t>Élève 114</t>
  </si>
  <si>
    <t>Élève 115</t>
  </si>
  <si>
    <t>Élève 116</t>
  </si>
  <si>
    <t>Élève 117</t>
  </si>
  <si>
    <t>Élève 118</t>
  </si>
  <si>
    <t>Élève 119</t>
  </si>
  <si>
    <t>Élève 120</t>
  </si>
  <si>
    <t>Élève 121</t>
  </si>
  <si>
    <t>Élève 122</t>
  </si>
  <si>
    <t>Élève 123</t>
  </si>
  <si>
    <t>Élève 124</t>
  </si>
  <si>
    <t>Élève 125</t>
  </si>
  <si>
    <t>Membre 5</t>
  </si>
  <si>
    <t>Équipe 4</t>
  </si>
  <si>
    <t>Équipe 5</t>
  </si>
  <si>
    <t>Équipe 6</t>
  </si>
  <si>
    <t>Équipe 7</t>
  </si>
  <si>
    <t>Équipe 8</t>
  </si>
  <si>
    <t>Équipe 9</t>
  </si>
  <si>
    <t>Équipe 10</t>
  </si>
  <si>
    <t>Équipe 11</t>
  </si>
  <si>
    <t>Équipe 12</t>
  </si>
  <si>
    <t>Équipe 13</t>
  </si>
  <si>
    <t>Équipe 14</t>
  </si>
  <si>
    <t>Équipe 15</t>
  </si>
  <si>
    <t>Équipe 16</t>
  </si>
  <si>
    <t>Équipe 17</t>
  </si>
  <si>
    <t>Équipe 18</t>
  </si>
  <si>
    <t>OK (1/1 équipes)</t>
  </si>
  <si>
    <t>OK (1/2 équipes)</t>
  </si>
  <si>
    <t>MINIMUM NON ATTEINT (0/1 équipes)</t>
  </si>
  <si>
    <t>(aucune équipe affectée)</t>
  </si>
  <si>
    <t>OK (2/3 équipes)</t>
  </si>
  <si>
    <t>Choix 22</t>
  </si>
  <si>
    <t>Choix 23</t>
  </si>
  <si>
    <t>Choix 24</t>
  </si>
  <si>
    <t>Projet 1</t>
  </si>
  <si>
    <t>Projet 9</t>
  </si>
  <si>
    <t>Projet 12</t>
  </si>
  <si>
    <t>Projet 19</t>
  </si>
  <si>
    <t>Projet 21</t>
  </si>
  <si>
    <t>Projet 2</t>
  </si>
  <si>
    <t>Projet 5</t>
  </si>
  <si>
    <t>Projet 24</t>
  </si>
  <si>
    <t>Projet 15</t>
  </si>
  <si>
    <t>Projet 14</t>
  </si>
  <si>
    <t>Projet 11</t>
  </si>
  <si>
    <t>Projet 17</t>
  </si>
  <si>
    <t>Projet 8</t>
  </si>
  <si>
    <t>Projet 18</t>
  </si>
  <si>
    <t>Projet 7</t>
  </si>
  <si>
    <t>Projet 13</t>
  </si>
  <si>
    <t>Projet 16</t>
  </si>
  <si>
    <t>Projet 22</t>
  </si>
  <si>
    <t>Projet 10</t>
  </si>
  <si>
    <t>Projet 3</t>
  </si>
  <si>
    <t>Projet 20</t>
  </si>
  <si>
    <t>Projet 6</t>
  </si>
  <si>
    <t>Projet 23</t>
  </si>
  <si>
    <t>Projet 4</t>
  </si>
  <si>
    <t>Élève 126</t>
  </si>
  <si>
    <t>Élève 127</t>
  </si>
  <si>
    <t>Élève 128</t>
  </si>
  <si>
    <t>Élève 129</t>
  </si>
  <si>
    <t>OK (1/3 équipes)</t>
  </si>
  <si>
    <t>Membre 6</t>
  </si>
  <si>
    <t>Membre 7</t>
  </si>
  <si>
    <t>Membre 8</t>
  </si>
  <si>
    <t>Membre 9</t>
  </si>
  <si>
    <t>Équipe 1 propose au Projet 11 (choix n°1).</t>
  </si>
  <si>
    <t>Projet 11: [Équipe 1]</t>
  </si>
  <si>
    <t>OK (3/4 équipes)</t>
  </si>
  <si>
    <t>Élève 4, Élève 51, Élève 58, Élève 36, Élève 84, Élève 46, Élève 56, Élève 7, Élève 88</t>
  </si>
  <si>
    <t>Élève 38, Élève 72, Élève 55, Élève 67, Élève 89, Élève 8, Élève 73, Élève 54, Élève 11</t>
  </si>
  <si>
    <t>Élève 62, Élève 74, Élève 2, Élève 30, Élève 94, Élève 76</t>
  </si>
  <si>
    <t>Élève 21, Élève 83, Élève 42, Élève 47, Élève 39, Élève 92, Élève 91</t>
  </si>
  <si>
    <t>Élève 16, Élève 90, Élève 14, Élève 23, Élève 6, Élève 19, Élève 50</t>
  </si>
  <si>
    <t>Élève 79, Élève 97, Élève 27, Élève 40, Élève 68, Élève 70, Élève 25, Élève 33, Élève 15, Élève 64</t>
  </si>
  <si>
    <t>Élève 53, Élève 5, Élève 3, Élève 17, Élève 77</t>
  </si>
  <si>
    <t>Élève 78, Élève 12, Élève 49, Élève 45, Élève 31, Élève 52</t>
  </si>
  <si>
    <t>Élève 81, Élève 96, Élève 82, Élève 37, Élève 29, Élève 13</t>
  </si>
  <si>
    <t>Élève 20, Élève 28, Élève 80, Élève 87, Élève 10, Élève 61, Élève 48, Élève 59</t>
  </si>
  <si>
    <t>Élève 9, Élève 75, Élève 99, Élève 18, Élève 63, Élève 95, Élève 57, Élève 93, Élève 86</t>
  </si>
  <si>
    <t>Élève 34, Élève 66, Élève 24, Élève 85, Élève 98, Élève 60, Élève 35, Élève 43, Élève 22</t>
  </si>
  <si>
    <t>Élève 32, Élève 71, Élève 41, Élève 1, Élève 44, Élève 65, Élève 26, Élève 100, Élève 69</t>
  </si>
  <si>
    <t>35,0%</t>
  </si>
  <si>
    <t>Équipe 3 propose au Projet 15 (choix n°1).</t>
  </si>
  <si>
    <t>Équipe 16 propose au Projet 6 (choix n°1).</t>
  </si>
  <si>
    <t>Projet 6: [Équipe 16]</t>
  </si>
  <si>
    <t>Équipe 10, Équipe 13</t>
  </si>
  <si>
    <t>Équipe 2, Équipe 3, Équipe 4, Équipe 5, Équipe 6, Équipe 7, Équipe 8, Équipe 9, Équipe 10, Équipe 11, Équipe 12, Équipe 13, Équipe 14, Équipe 15, Équipe 16, Équipe 17, Équipe 18</t>
  </si>
  <si>
    <t>Équipe 2 propose au Projet 15 (choix n°1).</t>
  </si>
  <si>
    <t>Projet 15: [Équipe 2]</t>
  </si>
  <si>
    <t>Équipe 3, Équipe 4, Équipe 5, Équipe 6, Équipe 7, Équipe 8, Équipe 9, Équipe 10, Équipe 11, Équipe 12, Équipe 13, Équipe 14, Équipe 15, Équipe 16, Équipe 17, Équipe 18</t>
  </si>
  <si>
    <t>Projet 15: [Équipe 2, Équipe 3]</t>
  </si>
  <si>
    <t>Équipe 4, Équipe 5, Équipe 6, Équipe 7, Équipe 8, Équipe 9, Équipe 10, Équipe 11, Équipe 12, Équipe 13, Équipe 14, Équipe 15, Équipe 16, Équipe 17, Équipe 18</t>
  </si>
  <si>
    <t>Équipe 4 propose au Projet 24 (choix n°1).</t>
  </si>
  <si>
    <t>Projet 24: [Équipe 4]</t>
  </si>
  <si>
    <t>Équipe 5, Équipe 6, Équipe 7, Équipe 8, Équipe 9, Équipe 10, Équipe 11, Équipe 12, Équipe 13, Équipe 14, Équipe 15, Équipe 16, Équipe 17, Équipe 18</t>
  </si>
  <si>
    <t>Équipe 5 propose au Projet 3 (choix n°1).</t>
  </si>
  <si>
    <t>Projet 3: [Équipe 5]</t>
  </si>
  <si>
    <t>Équipe 6, Équipe 7, Équipe 8, Équipe 9, Équipe 10, Équipe 11, Équipe 12, Équipe 13, Équipe 14, Équipe 15, Équipe 16, Équipe 17, Équipe 18</t>
  </si>
  <si>
    <t>Équipe 6 propose au Projet 8 (choix n°1).</t>
  </si>
  <si>
    <t>Projet 8: [Équipe 6]</t>
  </si>
  <si>
    <t>Équipe 7, Équipe 8, Équipe 9, Équipe 10, Équipe 11, Équipe 12, Équipe 13, Équipe 14, Équipe 15, Équipe 16, Équipe 17, Équipe 18</t>
  </si>
  <si>
    <t>Équipe 7 propose au Projet 14 (choix n°1).</t>
  </si>
  <si>
    <t>Projet 14: [Équipe 7]</t>
  </si>
  <si>
    <t>Équipe 8, Équipe 9, Équipe 10, Équipe 11, Équipe 12, Équipe 13, Équipe 14, Équipe 15, Équipe 16, Équipe 17, Équipe 18</t>
  </si>
  <si>
    <t>Équipe 8 propose au Projet 20 (choix n°1).</t>
  </si>
  <si>
    <t>Projet 20: [Équipe 8]</t>
  </si>
  <si>
    <t>Équipe 9, Équipe 10, Équipe 11, Équipe 12, Équipe 13, Équipe 14, Équipe 15, Équipe 16, Équipe 17, Équipe 18</t>
  </si>
  <si>
    <t>Équipe 9 propose au Projet 4 (choix n°1).</t>
  </si>
  <si>
    <t>Projet 4: [Équipe 9]</t>
  </si>
  <si>
    <t>Équipe 10, Équipe 11, Équipe 12, Équipe 13, Équipe 14, Équipe 15, Équipe 16, Équipe 17, Équipe 18</t>
  </si>
  <si>
    <t>Équipe 10 propose au Projet 22 (choix n°1).</t>
  </si>
  <si>
    <t>Projet 22: [Équipe 10]</t>
  </si>
  <si>
    <t>Équipe 11, Équipe 12, Équipe 13, Équipe 14, Équipe 15, Équipe 16, Équipe 17, Équipe 18</t>
  </si>
  <si>
    <t>Équipe 11 propose au Projet 16 (choix n°1).</t>
  </si>
  <si>
    <t>Projet 16: [Équipe 11]</t>
  </si>
  <si>
    <t>Équipe 12, Équipe 13, Équipe 14, Équipe 15, Équipe 16, Équipe 17, Équipe 18</t>
  </si>
  <si>
    <t>Équipe 12 propose au Projet 7 (choix n°1).</t>
  </si>
  <si>
    <t>Projet 7: [Équipe 12]</t>
  </si>
  <si>
    <t>Équipe 13, Équipe 14, Équipe 15, Équipe 16, Équipe 17, Équipe 18</t>
  </si>
  <si>
    <t>Équipe 13 propose au Projet 22 (choix n°1).</t>
  </si>
  <si>
    <t>Projet 22: [Équipe 10, Équipe 13]</t>
  </si>
  <si>
    <t>Équipe 14, Équipe 15, Équipe 16, Équipe 17, Équipe 18</t>
  </si>
  <si>
    <t>Équipe 14 propose au Projet 17 (choix n°1).</t>
  </si>
  <si>
    <t>Projet 17: [Équipe 14]</t>
  </si>
  <si>
    <t>Équipe 15, Équipe 16, Équipe 17, Équipe 18</t>
  </si>
  <si>
    <t>Équipe 15 propose au Projet 15 (choix n°1).</t>
  </si>
  <si>
    <t>Projet 15: [Équipe 2, Équipe 3, Équipe 15]</t>
  </si>
  <si>
    <t>Équipe 16, Équipe 17, Équipe 18</t>
  </si>
  <si>
    <t>Équipe 17, Équipe 18</t>
  </si>
  <si>
    <t>Équipe 17 propose au Projet 11 (choix n°1).</t>
  </si>
  <si>
    <t>Projet 11: [Équipe 1, Équipe 17]</t>
  </si>
  <si>
    <t>Équipe 18 propose au Projet 12 (choix n°1).</t>
  </si>
  <si>
    <t>Projet 12: [Équipe 18]</t>
  </si>
  <si>
    <t>Équipe 1, Équipe 17</t>
  </si>
  <si>
    <t>Équipe 2, Équipe 3, Équipe 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</si>
</sst>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Aptos Narrow"/>
      <family val="2"/>
      <scheme val="minor"/>
    </font>
    <font>
      <b/>
      <sz val="11"/>
      <color theme="1"/>
      <name val="Aptos Narrow"/>
      <family val="2"/>
      <scheme val="minor"/>
    </font>
    <font>
      <u/>
      <sz val="11"/>
      <color theme="10"/>
      <name val="Aptos Narrow"/>
      <family val="2"/>
      <scheme val="minor"/>
    </font>
    <font>
      <sz val="11"/>
      <color rgb="FF000000"/>
      <name val="Aptos Narrow"/>
      <family val="2"/>
    </font>
    <font>
      <sz val="11"/>
      <color rgb="FFFF0000"/>
      <name val="Aptos Narrow"/>
      <family val="2"/>
      <scheme val="minor"/>
    </font>
    <font>
      <u/>
      <sz val="11"/>
      <color rgb="FF0000FF"/>
      <name val="Aptos Narrow"/>
      <family val="2"/>
      <scheme val="minor"/>
    </font>
    <font>
      <b/>
      <sz val="11"/>
      <color rgb="FFFFFFFF"/>
      <name val="Aptos Narrow"/>
      <family val="2"/>
      <scheme val="minor"/>
    </font>
  </fonts>
  <fills count="7">
    <fill>
      <patternFill patternType="none"/>
    </fill>
    <fill>
      <patternFill patternType="gray125"/>
    </fill>
    <fill>
      <patternFill patternType="solid">
        <fgColor rgb="FFFFFF00"/>
        <bgColor indexed="64"/>
      </patternFill>
    </fill>
    <fill>
      <patternFill patternType="solid">
        <fgColor rgb="FF4472C4"/>
        <bgColor indexed="64"/>
      </patternFill>
    </fill>
    <fill>
      <patternFill patternType="solid">
        <fgColor rgb="FFEBFFEB"/>
        <bgColor indexed="64"/>
      </patternFill>
    </fill>
    <fill>
      <patternFill patternType="solid">
        <fgColor rgb="FFFFEB9C"/>
        <bgColor indexed="64"/>
      </patternFill>
    </fill>
    <fill>
      <patternFill patternType="solid">
        <fgColor rgb="FFFFEBEB"/>
        <bgColor indexed="64"/>
      </patternFill>
    </fill>
  </fills>
  <borders count="4">
    <border>
      <left/>
      <right/>
      <top/>
      <bottom/>
      <diagonal/>
    </border>
    <border>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s>
  <cellStyleXfs count="2">
    <xf numFmtId="0" fontId="0" fillId="0" borderId="0"/>
    <xf numFmtId="0" fontId="2" fillId="0" borderId="0" applyNumberFormat="0" applyFill="0" applyBorder="0" applyAlignment="0" applyProtection="0"/>
  </cellStyleXfs>
  <cellXfs count="19">
    <xf numFmtId="0" fontId="0" fillId="0" borderId="0" xfId="0"/>
    <xf numFmtId="0" fontId="2" fillId="0" borderId="0" xfId="1"/>
    <xf numFmtId="0" fontId="1" fillId="0" borderId="0" xfId="0" applyFont="1"/>
    <xf numFmtId="0" fontId="4" fillId="0" borderId="0" xfId="0" applyFont="1"/>
    <xf numFmtId="0" fontId="5" fillId="0" borderId="0" xfId="1" applyFont="1"/>
    <xf numFmtId="0" fontId="0" fillId="0" borderId="0" xfId="0" applyAlignment="1">
      <alignment wrapText="1"/>
    </xf>
    <xf numFmtId="0" fontId="0" fillId="2" borderId="0" xfId="0" applyFill="1"/>
    <xf numFmtId="0" fontId="0" fillId="0" borderId="1" xfId="0" applyBorder="1"/>
    <xf numFmtId="0" fontId="0" fillId="0" borderId="2" xfId="0" applyBorder="1"/>
    <xf numFmtId="0" fontId="0" fillId="0" borderId="0" xfId="0" applyFill="1"/>
    <xf numFmtId="0" fontId="6" fillId="3" borderId="3" xfId="0" applyFont="1" applyFill="1" applyBorder="1"/>
    <xf numFmtId="0" fontId="0" fillId="4" borderId="3" xfId="0" applyFill="1" applyBorder="1"/>
    <xf numFmtId="0" fontId="0" fillId="0" borderId="3" xfId="0" applyBorder="1"/>
    <xf numFmtId="0" fontId="0" fillId="5" borderId="3" xfId="0" applyFill="1" applyBorder="1"/>
    <xf numFmtId="0" fontId="0" fillId="6" borderId="3" xfId="0" applyFill="1" applyBorder="1"/>
    <xf numFmtId="0" fontId="0" fillId="4" borderId="3" xfId="0" applyFill="1" applyBorder="1" applyAlignment="1">
      <alignment vertical="center"/>
    </xf>
    <xf numFmtId="0" fontId="0" fillId="0" borderId="3" xfId="0" applyBorder="1" applyAlignment="1">
      <alignment vertical="center"/>
    </xf>
    <xf numFmtId="0" fontId="1" fillId="0" borderId="2" xfId="0" applyFont="1" applyBorder="1"/>
    <xf numFmtId="0" fontId="0" fillId="0" borderId="2" xfId="0" applyBorder="1"/>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Répartition des Élèves</a:t>
            </a:r>
          </a:p>
        </c:rich>
      </c:tx>
      <c:overlay val="0"/>
    </c:title>
    <c:autoTitleDeleted val="0"/>
    <c:plotArea>
      <c:layout/>
      <c:barChart>
        <c:barDir val="col"/>
        <c:grouping val="clustered"/>
        <c:varyColors val="0"/>
        <c:ser>
          <c:idx val="0"/>
          <c:order val="0"/>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Bilan_Performance!$A$3:$A$5</c:f>
              <c:strCache>
                <c:ptCount val="3"/>
                <c:pt idx="0">
                  <c:v>Nombre total d'équipes</c:v>
                </c:pt>
                <c:pt idx="1">
                  <c:v>Nombre d'équipes affectées</c:v>
                </c:pt>
                <c:pt idx="2">
                  <c:v>Nombre d'équipes non affectées</c:v>
                </c:pt>
              </c:strCache>
            </c:strRef>
          </c:cat>
          <c:val>
            <c:numRef>
              <c:f>Bilan_Performance!$B$3:$B$5</c:f>
              <c:numCache>
                <c:formatCode>General</c:formatCode>
                <c:ptCount val="3"/>
                <c:pt idx="0">
                  <c:v>13</c:v>
                </c:pt>
                <c:pt idx="1">
                  <c:v>13</c:v>
                </c:pt>
                <c:pt idx="2">
                  <c:v>0</c:v>
                </c:pt>
              </c:numCache>
            </c:numRef>
          </c:val>
          <c:extLst>
            <c:ext xmlns:c16="http://schemas.microsoft.com/office/drawing/2014/chart" uri="{C3380CC4-5D6E-409C-BE32-E72D297353CC}">
              <c16:uniqueId val="{00000000-9DA3-4FDD-8A56-38F8FE780A80}"/>
            </c:ext>
          </c:extLst>
        </c:ser>
        <c:dLbls>
          <c:showLegendKey val="0"/>
          <c:showVal val="0"/>
          <c:showCatName val="0"/>
          <c:showSerName val="0"/>
          <c:showPercent val="0"/>
          <c:showBubbleSize val="0"/>
        </c:dLbls>
        <c:gapWidth val="150"/>
        <c:axId val="1109477567"/>
        <c:axId val="1109473247"/>
      </c:barChart>
      <c:catAx>
        <c:axId val="1109477567"/>
        <c:scaling>
          <c:orientation val="minMax"/>
        </c:scaling>
        <c:delete val="0"/>
        <c:axPos val="b"/>
        <c:numFmt formatCode="General" sourceLinked="1"/>
        <c:majorTickMark val="out"/>
        <c:minorTickMark val="none"/>
        <c:tickLblPos val="nextTo"/>
        <c:crossAx val="1109473247"/>
        <c:crosses val="autoZero"/>
        <c:auto val="1"/>
        <c:lblAlgn val="ctr"/>
        <c:lblOffset val="100"/>
        <c:noMultiLvlLbl val="0"/>
      </c:catAx>
      <c:valAx>
        <c:axId val="1109473247"/>
        <c:scaling>
          <c:orientation val="minMax"/>
        </c:scaling>
        <c:delete val="0"/>
        <c:axPos val="l"/>
        <c:majorGridlines/>
        <c:title>
          <c:tx>
            <c:rich>
              <a:bodyPr/>
              <a:lstStyle/>
              <a:p>
                <a:pPr>
                  <a:defRPr/>
                </a:pPr>
                <a:r>
                  <a:rPr lang="fr-FR"/>
                  <a:t>Nombre d'élèves</a:t>
                </a:r>
              </a:p>
            </c:rich>
          </c:tx>
          <c:overlay val="0"/>
        </c:title>
        <c:numFmt formatCode="General" sourceLinked="1"/>
        <c:majorTickMark val="out"/>
        <c:minorTickMark val="none"/>
        <c:tickLblPos val="nextTo"/>
        <c:crossAx val="1109477567"/>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Satisfaction des Vœux</a:t>
            </a:r>
          </a:p>
        </c:rich>
      </c:tx>
      <c:overlay val="0"/>
    </c:title>
    <c:autoTitleDeleted val="0"/>
    <c:plotArea>
      <c:layout/>
      <c:barChart>
        <c:barDir val="col"/>
        <c:grouping val="clustered"/>
        <c:varyColors val="0"/>
        <c:ser>
          <c:idx val="0"/>
          <c:order val="0"/>
          <c:tx>
            <c:v>Nombre d'élèves</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Bilan_Performance!$A$11:$A$13</c:f>
              <c:strCache>
                <c:ptCount val="3"/>
                <c:pt idx="0">
                  <c:v>Équipes ayant obtenu leur 1er vœu</c:v>
                </c:pt>
                <c:pt idx="1">
                  <c:v>Équipes ayant obtenu leur 2ème vœu</c:v>
                </c:pt>
                <c:pt idx="2">
                  <c:v>Équipes ayant obtenu leur 3ème vœu</c:v>
                </c:pt>
              </c:strCache>
            </c:strRef>
          </c:cat>
          <c:val>
            <c:numRef>
              <c:f>Bilan_Performance!$B$11:$B$13</c:f>
              <c:numCache>
                <c:formatCode>General</c:formatCode>
                <c:ptCount val="3"/>
                <c:pt idx="0">
                  <c:v>13</c:v>
                </c:pt>
                <c:pt idx="1">
                  <c:v>0</c:v>
                </c:pt>
                <c:pt idx="2">
                  <c:v>0</c:v>
                </c:pt>
              </c:numCache>
            </c:numRef>
          </c:val>
          <c:extLst>
            <c:ext xmlns:c16="http://schemas.microsoft.com/office/drawing/2014/chart" uri="{C3380CC4-5D6E-409C-BE32-E72D297353CC}">
              <c16:uniqueId val="{00000000-4BE4-4581-A63C-BF8A58425F91}"/>
            </c:ext>
          </c:extLst>
        </c:ser>
        <c:dLbls>
          <c:showLegendKey val="0"/>
          <c:showVal val="0"/>
          <c:showCatName val="0"/>
          <c:showSerName val="0"/>
          <c:showPercent val="0"/>
          <c:showBubbleSize val="0"/>
        </c:dLbls>
        <c:gapWidth val="150"/>
        <c:axId val="1109475167"/>
        <c:axId val="1109461247"/>
      </c:barChart>
      <c:catAx>
        <c:axId val="1109475167"/>
        <c:scaling>
          <c:orientation val="minMax"/>
        </c:scaling>
        <c:delete val="0"/>
        <c:axPos val="b"/>
        <c:numFmt formatCode="General" sourceLinked="1"/>
        <c:majorTickMark val="out"/>
        <c:minorTickMark val="none"/>
        <c:tickLblPos val="nextTo"/>
        <c:crossAx val="1109461247"/>
        <c:crosses val="autoZero"/>
        <c:auto val="1"/>
        <c:lblAlgn val="ctr"/>
        <c:lblOffset val="100"/>
        <c:noMultiLvlLbl val="0"/>
      </c:catAx>
      <c:valAx>
        <c:axId val="1109461247"/>
        <c:scaling>
          <c:orientation val="minMax"/>
        </c:scaling>
        <c:delete val="0"/>
        <c:axPos val="l"/>
        <c:majorGridlines/>
        <c:title>
          <c:tx>
            <c:rich>
              <a:bodyPr/>
              <a:lstStyle/>
              <a:p>
                <a:pPr>
                  <a:defRPr/>
                </a:pPr>
                <a:r>
                  <a:rPr lang="fr-FR"/>
                  <a:t>Nombre d'élèves</a:t>
                </a:r>
              </a:p>
            </c:rich>
          </c:tx>
          <c:overlay val="0"/>
        </c:title>
        <c:numFmt formatCode="General" sourceLinked="1"/>
        <c:majorTickMark val="out"/>
        <c:minorTickMark val="none"/>
        <c:tickLblPos val="nextTo"/>
        <c:crossAx val="1109475167"/>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Performance des Projets</a:t>
            </a:r>
          </a:p>
        </c:rich>
      </c:tx>
      <c:overlay val="0"/>
    </c:title>
    <c:autoTitleDeleted val="0"/>
    <c:plotArea>
      <c:layout/>
      <c:barChart>
        <c:barDir val="bar"/>
        <c:grouping val="clustered"/>
        <c:varyColors val="0"/>
        <c:ser>
          <c:idx val="0"/>
          <c:order val="0"/>
          <c:tx>
            <c:v>Nombre de projets</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Bilan_Performance!$A$18:$A$19</c:f>
              <c:strCache>
                <c:ptCount val="2"/>
                <c:pt idx="0">
                  <c:v>Nombre total de projets</c:v>
                </c:pt>
                <c:pt idx="1">
                  <c:v>Projets ayant atteint leur minimum d'équipes</c:v>
                </c:pt>
              </c:strCache>
            </c:strRef>
          </c:cat>
          <c:val>
            <c:numRef>
              <c:f>Bilan_Performance!$B$18:$B$19</c:f>
              <c:numCache>
                <c:formatCode>General</c:formatCode>
                <c:ptCount val="2"/>
                <c:pt idx="0">
                  <c:v>20</c:v>
                </c:pt>
                <c:pt idx="1">
                  <c:v>7</c:v>
                </c:pt>
              </c:numCache>
            </c:numRef>
          </c:val>
          <c:extLst>
            <c:ext xmlns:c16="http://schemas.microsoft.com/office/drawing/2014/chart" uri="{C3380CC4-5D6E-409C-BE32-E72D297353CC}">
              <c16:uniqueId val="{00000000-A05E-43E7-94F3-78E409F638F4}"/>
            </c:ext>
          </c:extLst>
        </c:ser>
        <c:dLbls>
          <c:showLegendKey val="0"/>
          <c:showVal val="0"/>
          <c:showCatName val="0"/>
          <c:showSerName val="0"/>
          <c:showPercent val="0"/>
          <c:showBubbleSize val="0"/>
        </c:dLbls>
        <c:gapWidth val="150"/>
        <c:axId val="1109464607"/>
        <c:axId val="1109467487"/>
      </c:barChart>
      <c:catAx>
        <c:axId val="1109464607"/>
        <c:scaling>
          <c:orientation val="minMax"/>
        </c:scaling>
        <c:delete val="0"/>
        <c:axPos val="l"/>
        <c:numFmt formatCode="General" sourceLinked="1"/>
        <c:majorTickMark val="out"/>
        <c:minorTickMark val="none"/>
        <c:tickLblPos val="nextTo"/>
        <c:crossAx val="1109467487"/>
        <c:crosses val="autoZero"/>
        <c:auto val="1"/>
        <c:lblAlgn val="ctr"/>
        <c:lblOffset val="100"/>
        <c:noMultiLvlLbl val="0"/>
      </c:catAx>
      <c:valAx>
        <c:axId val="1109467487"/>
        <c:scaling>
          <c:orientation val="minMax"/>
        </c:scaling>
        <c:delete val="0"/>
        <c:axPos val="b"/>
        <c:majorGridlines/>
        <c:title>
          <c:tx>
            <c:rich>
              <a:bodyPr/>
              <a:lstStyle/>
              <a:p>
                <a:pPr>
                  <a:defRPr/>
                </a:pPr>
                <a:r>
                  <a:rPr lang="fr-FR"/>
                  <a:t>Nombre de projets</a:t>
                </a:r>
              </a:p>
            </c:rich>
          </c:tx>
          <c:overlay val="0"/>
        </c:title>
        <c:numFmt formatCode="General" sourceLinked="1"/>
        <c:majorTickMark val="out"/>
        <c:minorTickMark val="none"/>
        <c:tickLblPos val="nextTo"/>
        <c:crossAx val="1109464607"/>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228600</xdr:colOff>
          <xdr:row>3</xdr:row>
          <xdr:rowOff>123825</xdr:rowOff>
        </xdr:from>
        <xdr:to>
          <xdr:col>4</xdr:col>
          <xdr:colOff>590550</xdr:colOff>
          <xdr:row>4</xdr:row>
          <xdr:rowOff>171450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Générer les données de test (élèves et projets)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323850</xdr:colOff>
          <xdr:row>6</xdr:row>
          <xdr:rowOff>38100</xdr:rowOff>
        </xdr:from>
        <xdr:to>
          <xdr:col>2</xdr:col>
          <xdr:colOff>742950</xdr:colOff>
          <xdr:row>7</xdr:row>
          <xdr:rowOff>85725</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Lancer les affectation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409575</xdr:colOff>
          <xdr:row>11</xdr:row>
          <xdr:rowOff>133350</xdr:rowOff>
        </xdr:from>
        <xdr:to>
          <xdr:col>3</xdr:col>
          <xdr:colOff>104775</xdr:colOff>
          <xdr:row>12</xdr:row>
          <xdr:rowOff>180975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Affectations par élève</a:t>
              </a:r>
            </a:p>
            <a:p>
              <a:pPr algn="ctr" rtl="0">
                <a:defRPr sz="1000"/>
              </a:pP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304800</xdr:colOff>
          <xdr:row>8</xdr:row>
          <xdr:rowOff>0</xdr:rowOff>
        </xdr:from>
        <xdr:to>
          <xdr:col>3</xdr:col>
          <xdr:colOff>495300</xdr:colOff>
          <xdr:row>9</xdr:row>
          <xdr:rowOff>47625</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Lancer les affectation + pas à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476250</xdr:colOff>
          <xdr:row>14</xdr:row>
          <xdr:rowOff>123825</xdr:rowOff>
        </xdr:from>
        <xdr:to>
          <xdr:col>2</xdr:col>
          <xdr:colOff>676275</xdr:colOff>
          <xdr:row>15</xdr:row>
          <xdr:rowOff>171450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Composition des projets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628650</xdr:colOff>
          <xdr:row>21</xdr:row>
          <xdr:rowOff>85725</xdr:rowOff>
        </xdr:from>
        <xdr:to>
          <xdr:col>2</xdr:col>
          <xdr:colOff>352425</xdr:colOff>
          <xdr:row>22</xdr:row>
          <xdr:rowOff>133350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Performance</a:t>
              </a:r>
            </a:p>
            <a:p>
              <a:pPr algn="ctr" rtl="0">
                <a:defRPr sz="1000"/>
              </a:pP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a:p>
              <a:pPr algn="ctr" rtl="0">
                <a:defRPr sz="1000"/>
              </a:pPr>
              <a:r>
                <a:rPr lang="fr-FR" sz="1100" b="0" i="0" u="none" strike="noStrike" baseline="0">
                  <a:solidFill>
                    <a:srgbClr val="000000"/>
                  </a:solidFill>
                  <a:latin typeface="Aptos Narrow"/>
                </a:rPr>
                <a:t>Perf</a:t>
              </a:r>
            </a:p>
          </xdr:txBody>
        </xdr:sp>
        <xdr:clientData fPrintsWithSheet="0"/>
      </xdr:twoCellAnchor>
    </mc:Choice>
    <mc:Fallback/>
  </mc:AlternateContent>
  <xdr:oneCellAnchor>
    <xdr:from>
      <xdr:col>1</xdr:col>
      <xdr:colOff>723900</xdr:colOff>
      <xdr:row>27</xdr:row>
      <xdr:rowOff>123823</xdr:rowOff>
    </xdr:from>
    <xdr:ext cx="11115675" cy="12915902"/>
    <xdr:sp macro="" textlink="">
      <xdr:nvSpPr>
        <xdr:cNvPr id="2" name="ZoneTexte 1">
          <a:extLst>
            <a:ext uri="{FF2B5EF4-FFF2-40B4-BE49-F238E27FC236}">
              <a16:creationId xmlns:a16="http://schemas.microsoft.com/office/drawing/2014/main" id="{44AB0F1C-4A34-8BD6-2095-1DEC8AFB270E}"/>
            </a:ext>
          </a:extLst>
        </xdr:cNvPr>
        <xdr:cNvSpPr txBox="1"/>
      </xdr:nvSpPr>
      <xdr:spPr>
        <a:xfrm>
          <a:off x="1485900" y="4886323"/>
          <a:ext cx="11115675" cy="129159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rtl="0"/>
          <a:r>
            <a:rPr lang="fr-FR" sz="1100" b="1">
              <a:solidFill>
                <a:schemeClr val="tx1"/>
              </a:solidFill>
              <a:effectLst/>
              <a:latin typeface="+mn-lt"/>
              <a:ea typeface="+mn-ea"/>
              <a:cs typeface="+mn-cs"/>
            </a:rPr>
            <a:t>Introduction : À quoi sert cet algorithme ?</a:t>
          </a:r>
        </a:p>
        <a:p>
          <a:pPr rtl="0"/>
          <a:r>
            <a:rPr lang="fr-FR" sz="1100">
              <a:solidFill>
                <a:schemeClr val="tx1"/>
              </a:solidFill>
              <a:effectLst/>
              <a:latin typeface="+mn-lt"/>
              <a:ea typeface="+mn-ea"/>
              <a:cs typeface="+mn-cs"/>
            </a:rPr>
            <a:t>Cet algorithme, connu sous le nom de </a:t>
          </a:r>
          <a:r>
            <a:rPr lang="fr-FR" sz="1100" b="1">
              <a:solidFill>
                <a:schemeClr val="tx1"/>
              </a:solidFill>
              <a:effectLst/>
              <a:latin typeface="+mn-lt"/>
              <a:ea typeface="+mn-ea"/>
              <a:cs typeface="+mn-cs"/>
            </a:rPr>
            <a:t>Gale-Shapley</a:t>
          </a:r>
          <a:r>
            <a:rPr lang="fr-FR" sz="1100">
              <a:solidFill>
                <a:schemeClr val="tx1"/>
              </a:solidFill>
              <a:effectLst/>
              <a:latin typeface="+mn-lt"/>
              <a:ea typeface="+mn-ea"/>
              <a:cs typeface="+mn-cs"/>
            </a:rPr>
            <a:t> ou </a:t>
          </a:r>
          <a:r>
            <a:rPr lang="fr-FR" sz="1100" b="1">
              <a:solidFill>
                <a:schemeClr val="tx1"/>
              </a:solidFill>
              <a:effectLst/>
              <a:latin typeface="+mn-lt"/>
              <a:ea typeface="+mn-ea"/>
              <a:cs typeface="+mn-cs"/>
            </a:rPr>
            <a:t>algorithme des affectations stables</a:t>
          </a:r>
          <a:r>
            <a:rPr lang="fr-FR" sz="1100">
              <a:solidFill>
                <a:schemeClr val="tx1"/>
              </a:solidFill>
              <a:effectLst/>
              <a:latin typeface="+mn-lt"/>
              <a:ea typeface="+mn-ea"/>
              <a:cs typeface="+mn-cs"/>
            </a:rPr>
            <a:t>, est utilisé pour résoudre des problèmes d'appariement complexes où les préférences des deux côtés doivent être respectées. Son cas d'usage le plus célèbre en France est le système </a:t>
          </a:r>
          <a:r>
            <a:rPr lang="fr-FR" sz="1100" b="1">
              <a:solidFill>
                <a:schemeClr val="tx1"/>
              </a:solidFill>
              <a:effectLst/>
              <a:latin typeface="+mn-lt"/>
              <a:ea typeface="+mn-ea"/>
              <a:cs typeface="+mn-cs"/>
            </a:rPr>
            <a:t>Parcoursup</a:t>
          </a:r>
          <a:r>
            <a:rPr lang="fr-FR" sz="1100">
              <a:solidFill>
                <a:schemeClr val="tx1"/>
              </a:solidFill>
              <a:effectLst/>
              <a:latin typeface="+mn-lt"/>
              <a:ea typeface="+mn-ea"/>
              <a:cs typeface="+mn-cs"/>
            </a:rPr>
            <a:t> pour l'affectation des lycéens à l'enseignement supérieur. Il sert aussi à affecter des internes en médecine à des hôpitaux ou, comme dans notre cas, des élèves à des projets. Son but n'est pas de donner à chacun son premier choix, mais de produire un résultat </a:t>
          </a:r>
          <a:r>
            <a:rPr lang="fr-FR" sz="1100" b="1">
              <a:solidFill>
                <a:schemeClr val="tx1"/>
              </a:solidFill>
              <a:effectLst/>
              <a:latin typeface="+mn-lt"/>
              <a:ea typeface="+mn-ea"/>
              <a:cs typeface="+mn-cs"/>
            </a:rPr>
            <a:t>juste et sans regrets</a:t>
          </a:r>
          <a:r>
            <a:rPr lang="fr-FR" sz="1100">
              <a:solidFill>
                <a:schemeClr val="tx1"/>
              </a:solidFill>
              <a:effectLst/>
              <a:latin typeface="+mn-lt"/>
              <a:ea typeface="+mn-ea"/>
              <a:cs typeface="+mn-cs"/>
            </a:rPr>
            <a:t>.</a:t>
          </a:r>
        </a:p>
        <a:p>
          <a:pPr rtl="0"/>
          <a:r>
            <a:rPr lang="fr-FR" sz="1100" b="1">
              <a:solidFill>
                <a:schemeClr val="tx1"/>
              </a:solidFill>
              <a:effectLst/>
              <a:latin typeface="+mn-lt"/>
              <a:ea typeface="+mn-ea"/>
              <a:cs typeface="+mn-cs"/>
            </a:rPr>
            <a:t>Le Fonctionnement : L'Analogie du Bal Organisé 💃🕺</a:t>
          </a:r>
        </a:p>
        <a:p>
          <a:pPr rtl="0"/>
          <a:r>
            <a:rPr lang="fr-FR" sz="1100">
              <a:solidFill>
                <a:schemeClr val="tx1"/>
              </a:solidFill>
              <a:effectLst/>
              <a:latin typeface="+mn-lt"/>
              <a:ea typeface="+mn-ea"/>
              <a:cs typeface="+mn-cs"/>
            </a:rPr>
            <a:t>Pour comprendre comment l'affectation fonctionne, imaginez que les élèves et les projets participent à un grand bal.</a:t>
          </a:r>
        </a:p>
        <a:p>
          <a:pPr rtl="0"/>
          <a:r>
            <a:rPr lang="fr-FR" sz="1100" b="1">
              <a:solidFill>
                <a:schemeClr val="tx1"/>
              </a:solidFill>
              <a:effectLst/>
              <a:latin typeface="+mn-lt"/>
              <a:ea typeface="+mn-ea"/>
              <a:cs typeface="+mn-cs"/>
            </a:rPr>
            <a:t>Les Élèves Invitent :</a:t>
          </a:r>
          <a:r>
            <a:rPr lang="fr-FR" sz="1100">
              <a:solidFill>
                <a:schemeClr val="tx1"/>
              </a:solidFill>
              <a:effectLst/>
              <a:latin typeface="+mn-lt"/>
              <a:ea typeface="+mn-ea"/>
              <a:cs typeface="+mn-cs"/>
            </a:rPr>
            <a:t> Ce sont les élèves qui prennent l'initiative. La macro prend un élève "libre" (sans projet) et lui demande d'inviter le projet qui est tout en haut de sa liste de vœux. C'est sa </a:t>
          </a:r>
          <a:r>
            <a:rPr lang="fr-FR" sz="1100" b="1">
              <a:solidFill>
                <a:schemeClr val="tx1"/>
              </a:solidFill>
              <a:effectLst/>
              <a:latin typeface="+mn-lt"/>
              <a:ea typeface="+mn-ea"/>
              <a:cs typeface="+mn-cs"/>
            </a:rPr>
            <a:t>proposition</a:t>
          </a:r>
          <a:r>
            <a:rPr lang="fr-FR" sz="1100">
              <a:solidFill>
                <a:schemeClr val="tx1"/>
              </a:solidFill>
              <a:effectLst/>
              <a:latin typeface="+mn-lt"/>
              <a:ea typeface="+mn-ea"/>
              <a:cs typeface="+mn-cs"/>
            </a:rPr>
            <a:t>.</a:t>
          </a:r>
        </a:p>
        <a:p>
          <a:pPr rtl="0"/>
          <a:r>
            <a:rPr lang="fr-FR" sz="1100" b="1">
              <a:solidFill>
                <a:schemeClr val="tx1"/>
              </a:solidFill>
              <a:effectLst/>
              <a:latin typeface="+mn-lt"/>
              <a:ea typeface="+mn-ea"/>
              <a:cs typeface="+mn-cs"/>
            </a:rPr>
            <a:t>L'Acceptation est Provisoire :</a:t>
          </a:r>
          <a:r>
            <a:rPr lang="fr-FR" sz="1100">
              <a:solidFill>
                <a:schemeClr val="tx1"/>
              </a:solidFill>
              <a:effectLst/>
              <a:latin typeface="+mn-lt"/>
              <a:ea typeface="+mn-ea"/>
              <a:cs typeface="+mn-cs"/>
            </a:rPr>
            <a:t> Quand un projet reçoit une invitation, sa réponse dépend de sa situation. L'important est que toute acceptation est </a:t>
          </a:r>
          <a:r>
            <a:rPr lang="fr-FR" sz="1100" b="1">
              <a:solidFill>
                <a:schemeClr val="tx1"/>
              </a:solidFill>
              <a:effectLst/>
              <a:latin typeface="+mn-lt"/>
              <a:ea typeface="+mn-ea"/>
              <a:cs typeface="+mn-cs"/>
            </a:rPr>
            <a:t>provisoire</a:t>
          </a:r>
          <a:r>
            <a:rPr lang="fr-FR" sz="1100">
              <a:solidFill>
                <a:schemeClr val="tx1"/>
              </a:solidFill>
              <a:effectLst/>
              <a:latin typeface="+mn-lt"/>
              <a:ea typeface="+mn-ea"/>
              <a:cs typeface="+mn-cs"/>
            </a:rPr>
            <a:t> jusqu'à la toute fin.</a:t>
          </a:r>
        </a:p>
        <a:p>
          <a:pPr lvl="1" rtl="0"/>
          <a:r>
            <a:rPr lang="fr-FR" sz="1100" b="1">
              <a:solidFill>
                <a:schemeClr val="tx1"/>
              </a:solidFill>
              <a:effectLst/>
              <a:latin typeface="+mn-lt"/>
              <a:ea typeface="+mn-ea"/>
              <a:cs typeface="+mn-cs"/>
            </a:rPr>
            <a:t>S'il a une place de libre :</a:t>
          </a:r>
          <a:r>
            <a:rPr lang="fr-FR" sz="1100">
              <a:solidFill>
                <a:schemeClr val="tx1"/>
              </a:solidFill>
              <a:effectLst/>
              <a:latin typeface="+mn-lt"/>
              <a:ea typeface="+mn-ea"/>
              <a:cs typeface="+mn-cs"/>
            </a:rPr>
            <a:t> Il accepte de "danser" provisoirement avec l'élève.</a:t>
          </a:r>
        </a:p>
        <a:p>
          <a:pPr lvl="1" rtl="0"/>
          <a:r>
            <a:rPr lang="fr-FR" sz="1100" b="1">
              <a:solidFill>
                <a:schemeClr val="tx1"/>
              </a:solidFill>
              <a:effectLst/>
              <a:latin typeface="+mn-lt"/>
              <a:ea typeface="+mn-ea"/>
              <a:cs typeface="+mn-cs"/>
            </a:rPr>
            <a:t>S'il est déjà complet :</a:t>
          </a:r>
          <a:r>
            <a:rPr lang="fr-FR" sz="1100">
              <a:solidFill>
                <a:schemeClr val="tx1"/>
              </a:solidFill>
              <a:effectLst/>
              <a:latin typeface="+mn-lt"/>
              <a:ea typeface="+mn-ea"/>
              <a:cs typeface="+mn-cs"/>
            </a:rPr>
            <a:t> Il compare le nouvel élève avec ceux qu'il a déjà acceptés. S'il préfère le nouvel arrivant au "moins bon" de ses partenaires actuels, il </a:t>
          </a:r>
          <a:r>
            <a:rPr lang="fr-FR" sz="1100" b="1">
              <a:solidFill>
                <a:schemeClr val="tx1"/>
              </a:solidFill>
              <a:effectLst/>
              <a:latin typeface="+mn-lt"/>
              <a:ea typeface="+mn-ea"/>
              <a:cs typeface="+mn-cs"/>
            </a:rPr>
            <a:t>évince</a:t>
          </a:r>
          <a:r>
            <a:rPr lang="fr-FR" sz="1100">
              <a:solidFill>
                <a:schemeClr val="tx1"/>
              </a:solidFill>
              <a:effectLst/>
              <a:latin typeface="+mn-lt"/>
              <a:ea typeface="+mn-ea"/>
              <a:cs typeface="+mn-cs"/>
            </a:rPr>
            <a:t> le moins bon (qui redevient libre 💔) et accepte provisoirement le nouveau. Sinon, il rejette l'invitation.</a:t>
          </a:r>
        </a:p>
        <a:p>
          <a:pPr rtl="0"/>
          <a:r>
            <a:rPr lang="fr-FR" sz="1100" b="1">
              <a:solidFill>
                <a:schemeClr val="tx1"/>
              </a:solidFill>
              <a:effectLst/>
              <a:latin typeface="+mn-lt"/>
              <a:ea typeface="+mn-ea"/>
              <a:cs typeface="+mn-cs"/>
            </a:rPr>
            <a:t>La Fin du Bal :</a:t>
          </a:r>
          <a:r>
            <a:rPr lang="fr-FR" sz="1100">
              <a:solidFill>
                <a:schemeClr val="tx1"/>
              </a:solidFill>
              <a:effectLst/>
              <a:latin typeface="+mn-lt"/>
              <a:ea typeface="+mn-ea"/>
              <a:cs typeface="+mn-cs"/>
            </a:rPr>
            <a:t> Ce cycle de propositions, d'acceptations provisoires et d'évictions continue jusqu'à ce que plus aucun élève ne puisse faire de nouvelle proposition. À ce moment, toutes les "danses provisoires" deviennent définitives.</a:t>
          </a:r>
        </a:p>
        <a:p>
          <a:pPr rtl="0"/>
          <a:r>
            <a:rPr lang="fr-FR" sz="1100" b="1">
              <a:solidFill>
                <a:schemeClr val="tx1"/>
              </a:solidFill>
              <a:effectLst/>
              <a:latin typeface="+mn-lt"/>
              <a:ea typeface="+mn-ea"/>
              <a:cs typeface="+mn-cs"/>
            </a:rPr>
            <a:t>L'Objectif : Atteindre une Affectation Stable 🤝</a:t>
          </a:r>
        </a:p>
        <a:p>
          <a:pPr rtl="0"/>
          <a:r>
            <a:rPr lang="fr-FR" sz="1100">
              <a:solidFill>
                <a:schemeClr val="tx1"/>
              </a:solidFill>
              <a:effectLst/>
              <a:latin typeface="+mn-lt"/>
              <a:ea typeface="+mn-ea"/>
              <a:cs typeface="+mn-cs"/>
            </a:rPr>
            <a:t>Le but de ce processus complexe est d'atteindre une </a:t>
          </a:r>
          <a:r>
            <a:rPr lang="fr-FR" sz="1100" b="1">
              <a:solidFill>
                <a:schemeClr val="tx1"/>
              </a:solidFill>
              <a:effectLst/>
              <a:latin typeface="+mn-lt"/>
              <a:ea typeface="+mn-ea"/>
              <a:cs typeface="+mn-cs"/>
            </a:rPr>
            <a:t>affectation stable</a:t>
          </a:r>
          <a:r>
            <a:rPr lang="fr-FR" sz="1100">
              <a:solidFill>
                <a:schemeClr val="tx1"/>
              </a:solidFill>
              <a:effectLst/>
              <a:latin typeface="+mn-lt"/>
              <a:ea typeface="+mn-ea"/>
              <a:cs typeface="+mn-cs"/>
            </a:rPr>
            <a:t>. Mais qu'est-ce que cela signifie ?</a:t>
          </a:r>
        </a:p>
        <a:p>
          <a:pPr rtl="0"/>
          <a:r>
            <a:rPr lang="fr-FR" sz="1100">
              <a:solidFill>
                <a:schemeClr val="tx1"/>
              </a:solidFill>
              <a:effectLst/>
              <a:latin typeface="+mn-lt"/>
              <a:ea typeface="+mn-ea"/>
              <a:cs typeface="+mn-cs"/>
            </a:rPr>
            <a:t>Une affectation est stable s'il n'existe aucune </a:t>
          </a:r>
          <a:r>
            <a:rPr lang="fr-FR" sz="1100" b="1">
              <a:solidFill>
                <a:schemeClr val="tx1"/>
              </a:solidFill>
              <a:effectLst/>
              <a:latin typeface="+mn-lt"/>
              <a:ea typeface="+mn-ea"/>
              <a:cs typeface="+mn-cs"/>
            </a:rPr>
            <a:t>paire "frustrée"</a:t>
          </a:r>
          <a:r>
            <a:rPr lang="fr-FR" sz="1100">
              <a:solidFill>
                <a:schemeClr val="tx1"/>
              </a:solidFill>
              <a:effectLst/>
              <a:latin typeface="+mn-lt"/>
              <a:ea typeface="+mn-ea"/>
              <a:cs typeface="+mn-cs"/>
            </a:rPr>
            <a:t>.</a:t>
          </a:r>
        </a:p>
        <a:p>
          <a:pPr rtl="0"/>
          <a:r>
            <a:rPr lang="fr-FR" sz="1100">
              <a:solidFill>
                <a:schemeClr val="tx1"/>
              </a:solidFill>
              <a:effectLst/>
              <a:latin typeface="+mn-lt"/>
              <a:ea typeface="+mn-ea"/>
              <a:cs typeface="+mn-cs"/>
            </a:rPr>
            <a:t>Une paire "frustrée" est un duo composé d'un élève (Alex) et d'un projet qu'il n'a pas obtenu (Projet Z), où les </a:t>
          </a:r>
          <a:r>
            <a:rPr lang="fr-FR" sz="1100" b="1">
              <a:solidFill>
                <a:schemeClr val="tx1"/>
              </a:solidFill>
              <a:effectLst/>
              <a:latin typeface="+mn-lt"/>
              <a:ea typeface="+mn-ea"/>
              <a:cs typeface="+mn-cs"/>
            </a:rPr>
            <a:t>deux conditions suivantes sont vraies en même temps</a:t>
          </a:r>
          <a:r>
            <a:rPr lang="fr-FR" sz="1100">
              <a:solidFill>
                <a:schemeClr val="tx1"/>
              </a:solidFill>
              <a:effectLst/>
              <a:latin typeface="+mn-lt"/>
              <a:ea typeface="+mn-ea"/>
              <a:cs typeface="+mn-cs"/>
            </a:rPr>
            <a:t> :</a:t>
          </a:r>
        </a:p>
        <a:p>
          <a:pPr rtl="0"/>
          <a:r>
            <a:rPr lang="fr-FR" sz="1100">
              <a:solidFill>
                <a:schemeClr val="tx1"/>
              </a:solidFill>
              <a:effectLst/>
              <a:latin typeface="+mn-lt"/>
              <a:ea typeface="+mn-ea"/>
              <a:cs typeface="+mn-cs"/>
            </a:rPr>
            <a:t>Alex préfère le Projet Z au projet qu'il a finalement eu.</a:t>
          </a:r>
        </a:p>
        <a:p>
          <a:pPr rtl="0"/>
          <a:r>
            <a:rPr lang="fr-FR" sz="1100">
              <a:solidFill>
                <a:schemeClr val="tx1"/>
              </a:solidFill>
              <a:effectLst/>
              <a:latin typeface="+mn-lt"/>
              <a:ea typeface="+mn-ea"/>
              <a:cs typeface="+mn-cs"/>
            </a:rPr>
            <a:t>ET</a:t>
          </a:r>
        </a:p>
        <a:p>
          <a:pPr rtl="0"/>
          <a:r>
            <a:rPr lang="fr-FR" sz="1100">
              <a:solidFill>
                <a:schemeClr val="tx1"/>
              </a:solidFill>
              <a:effectLst/>
              <a:latin typeface="+mn-lt"/>
              <a:ea typeface="+mn-ea"/>
              <a:cs typeface="+mn-cs"/>
            </a:rPr>
            <a:t>Le </a:t>
          </a:r>
          <a:r>
            <a:rPr lang="fr-FR" sz="1100" b="1">
              <a:solidFill>
                <a:schemeClr val="tx1"/>
              </a:solidFill>
              <a:effectLst/>
              <a:latin typeface="+mn-lt"/>
              <a:ea typeface="+mn-ea"/>
              <a:cs typeface="+mn-cs"/>
            </a:rPr>
            <a:t>Projet Z préfère</a:t>
          </a:r>
          <a:r>
            <a:rPr lang="fr-FR" sz="1100">
              <a:solidFill>
                <a:schemeClr val="tx1"/>
              </a:solidFill>
              <a:effectLst/>
              <a:latin typeface="+mn-lt"/>
              <a:ea typeface="+mn-ea"/>
              <a:cs typeface="+mn-cs"/>
            </a:rPr>
            <a:t> Alex à au moins un des élèves qui lui ont été affectés.</a:t>
          </a:r>
        </a:p>
        <a:p>
          <a:pPr rtl="0"/>
          <a:r>
            <a:rPr lang="fr-FR" sz="1100">
              <a:solidFill>
                <a:schemeClr val="tx1"/>
              </a:solidFill>
              <a:effectLst/>
              <a:latin typeface="+mn-lt"/>
              <a:ea typeface="+mn-ea"/>
              <a:cs typeface="+mn-cs"/>
            </a:rPr>
            <a:t>Si une telle paire existait, l'affectation ne tiendrait pas : Alex et le Projet Z auraient un intérêt mutuel à tout annuler pour se mettre ensemble.</a:t>
          </a:r>
        </a:p>
        <a:p>
          <a:pPr rtl="0"/>
          <a:r>
            <a:rPr lang="fr-FR" sz="1100">
              <a:solidFill>
                <a:schemeClr val="tx1"/>
              </a:solidFill>
              <a:effectLst/>
              <a:latin typeface="+mn-lt"/>
              <a:ea typeface="+mn-ea"/>
              <a:cs typeface="+mn-cs"/>
            </a:rPr>
            <a:t>L'algorithme garantit qu'à la fin, </a:t>
          </a:r>
          <a:r>
            <a:rPr lang="fr-FR" sz="1100" b="1">
              <a:solidFill>
                <a:schemeClr val="tx1"/>
              </a:solidFill>
              <a:effectLst/>
              <a:latin typeface="+mn-lt"/>
              <a:ea typeface="+mn-ea"/>
              <a:cs typeface="+mn-cs"/>
            </a:rPr>
            <a:t>aucune paire de ce type n'existe</a:t>
          </a:r>
          <a:r>
            <a:rPr lang="fr-FR" sz="1100">
              <a:solidFill>
                <a:schemeClr val="tx1"/>
              </a:solidFill>
              <a:effectLst/>
              <a:latin typeface="+mn-lt"/>
              <a:ea typeface="+mn-ea"/>
              <a:cs typeface="+mn-cs"/>
            </a:rPr>
            <a:t>. Chaque élève sait que les projets qu'il préférait l'ont rejeté pour de meilleurs candidats, et chaque projet sait que les élèves qu'il préférait ont obtenu une place dans un projet qu'ils désiraient encore plus. C'est un équilibre sans regrets mutuels légitimes.</a:t>
          </a:r>
        </a:p>
        <a:p>
          <a:pPr rtl="0"/>
          <a:endParaRPr lang="fr-FR" sz="1100">
            <a:solidFill>
              <a:schemeClr val="tx1"/>
            </a:solidFill>
            <a:effectLst/>
            <a:latin typeface="+mn-lt"/>
            <a:ea typeface="+mn-ea"/>
            <a:cs typeface="+mn-cs"/>
          </a:endParaRPr>
        </a:p>
        <a:p>
          <a:pPr rtl="0"/>
          <a:endParaRPr lang="fr-FR" sz="1100">
            <a:solidFill>
              <a:schemeClr val="tx1"/>
            </a:solidFill>
            <a:effectLst/>
            <a:latin typeface="+mn-lt"/>
            <a:ea typeface="+mn-ea"/>
            <a:cs typeface="+mn-cs"/>
          </a:endParaRPr>
        </a:p>
        <a:p>
          <a:pPr rtl="0"/>
          <a:endParaRPr lang="fr-FR" sz="1100">
            <a:solidFill>
              <a:schemeClr val="tx1"/>
            </a:solidFill>
            <a:effectLst/>
            <a:latin typeface="+mn-lt"/>
            <a:ea typeface="+mn-ea"/>
            <a:cs typeface="+mn-cs"/>
          </a:endParaRPr>
        </a:p>
        <a:p>
          <a:pPr rtl="0"/>
          <a:r>
            <a:rPr lang="fr-FR" sz="1100">
              <a:solidFill>
                <a:schemeClr val="tx1"/>
              </a:solidFill>
              <a:effectLst/>
              <a:latin typeface="+mn-lt"/>
              <a:ea typeface="+mn-ea"/>
              <a:cs typeface="+mn-cs"/>
            </a:rPr>
            <a:t>L'algorithme de Gale-Shapley est non seulement démontré mathématiquement, mais c'est aussi un exemple célèbre d'algorithme dont les propriétés sont élégantes et prouvées de manière formelle.</a:t>
          </a:r>
        </a:p>
        <a:p>
          <a:pPr rtl="0"/>
          <a:r>
            <a:rPr lang="fr-FR" sz="1100">
              <a:solidFill>
                <a:schemeClr val="tx1"/>
              </a:solidFill>
              <a:effectLst/>
              <a:latin typeface="+mn-lt"/>
              <a:ea typeface="+mn-ea"/>
              <a:cs typeface="+mn-cs"/>
            </a:rPr>
            <a:t>Il a été publié en 1962 par les mathématiciens </a:t>
          </a:r>
          <a:r>
            <a:rPr lang="fr-FR" sz="1100" b="1">
              <a:solidFill>
                <a:schemeClr val="tx1"/>
              </a:solidFill>
              <a:effectLst/>
              <a:latin typeface="+mn-lt"/>
              <a:ea typeface="+mn-ea"/>
              <a:cs typeface="+mn-cs"/>
            </a:rPr>
            <a:t>David Gale</a:t>
          </a:r>
          <a:r>
            <a:rPr lang="fr-FR" sz="1100">
              <a:solidFill>
                <a:schemeClr val="tx1"/>
              </a:solidFill>
              <a:effectLst/>
              <a:latin typeface="+mn-lt"/>
              <a:ea typeface="+mn-ea"/>
              <a:cs typeface="+mn-cs"/>
            </a:rPr>
            <a:t> et </a:t>
          </a:r>
          <a:r>
            <a:rPr lang="fr-FR" sz="1100" b="1">
              <a:solidFill>
                <a:schemeClr val="tx1"/>
              </a:solidFill>
              <a:effectLst/>
              <a:latin typeface="+mn-lt"/>
              <a:ea typeface="+mn-ea"/>
              <a:cs typeface="+mn-cs"/>
            </a:rPr>
            <a:t>Lloyd Shapley</a:t>
          </a:r>
          <a:r>
            <a:rPr lang="fr-FR" sz="1100">
              <a:solidFill>
                <a:schemeClr val="tx1"/>
              </a:solidFill>
              <a:effectLst/>
              <a:latin typeface="+mn-lt"/>
              <a:ea typeface="+mn-ea"/>
              <a:cs typeface="+mn-cs"/>
            </a:rPr>
            <a:t> (qui a d'ailleurs reçu le Prix Nobel d'Économie en 2012 pour ces travaux sur la stabilité).</a:t>
          </a:r>
        </a:p>
        <a:p>
          <a:pPr rtl="0"/>
          <a:r>
            <a:rPr lang="fr-FR" sz="1100">
              <a:solidFill>
                <a:schemeClr val="tx1"/>
              </a:solidFill>
              <a:effectLst/>
              <a:latin typeface="+mn-lt"/>
              <a:ea typeface="+mn-ea"/>
              <a:cs typeface="+mn-cs"/>
            </a:rPr>
            <a:t>Les démonstrations mathématiques prouvent principalement trois choses :</a:t>
          </a:r>
        </a:p>
        <a:p>
          <a:pPr rtl="0"/>
          <a:r>
            <a:rPr lang="fr-FR" sz="1100" b="1">
              <a:solidFill>
                <a:schemeClr val="tx1"/>
              </a:solidFill>
              <a:effectLst/>
              <a:latin typeface="+mn-lt"/>
              <a:ea typeface="+mn-ea"/>
              <a:cs typeface="+mn-cs"/>
            </a:rPr>
            <a:t>1. La Garantie de Terminaison ✅</a:t>
          </a:r>
        </a:p>
        <a:p>
          <a:pPr rtl="0"/>
          <a:r>
            <a:rPr lang="fr-FR" sz="1100">
              <a:solidFill>
                <a:schemeClr val="tx1"/>
              </a:solidFill>
              <a:effectLst/>
              <a:latin typeface="+mn-lt"/>
              <a:ea typeface="+mn-ea"/>
              <a:cs typeface="+mn-cs"/>
            </a:rPr>
            <a:t>L'algorithme se termine toujours et ne peut pas tourner en boucle indéfiniment.</a:t>
          </a:r>
        </a:p>
        <a:p>
          <a:pPr rtl="0"/>
          <a:r>
            <a:rPr lang="fr-FR" sz="1100" b="1">
              <a:solidFill>
                <a:schemeClr val="tx1"/>
              </a:solidFill>
              <a:effectLst/>
              <a:latin typeface="+mn-lt"/>
              <a:ea typeface="+mn-ea"/>
              <a:cs typeface="+mn-cs"/>
            </a:rPr>
            <a:t>La preuve est simple :</a:t>
          </a:r>
          <a:r>
            <a:rPr lang="fr-FR" sz="1100">
              <a:solidFill>
                <a:schemeClr val="tx1"/>
              </a:solidFill>
              <a:effectLst/>
              <a:latin typeface="+mn-lt"/>
              <a:ea typeface="+mn-ea"/>
              <a:cs typeface="+mn-cs"/>
            </a:rPr>
            <a:t> Il y a un nombre fini d'élèves et de projets. Un élève ne propose jamais deux fois au même projet. Au pire des cas, chaque élève proposera une fois à chaque projet de sa liste, ce qui représente un nombre fini d'itérations.</a:t>
          </a:r>
        </a:p>
        <a:p>
          <a:pPr rtl="0"/>
          <a:r>
            <a:rPr lang="fr-FR" sz="1100" b="1">
              <a:solidFill>
                <a:schemeClr val="tx1"/>
              </a:solidFill>
              <a:effectLst/>
              <a:latin typeface="+mn-lt"/>
              <a:ea typeface="+mn-ea"/>
              <a:cs typeface="+mn-cs"/>
            </a:rPr>
            <a:t>2. La Garantie de Stabilité 🤝</a:t>
          </a:r>
        </a:p>
        <a:p>
          <a:pPr rtl="0"/>
          <a:r>
            <a:rPr lang="fr-FR" sz="1100">
              <a:solidFill>
                <a:schemeClr val="tx1"/>
              </a:solidFill>
              <a:effectLst/>
              <a:latin typeface="+mn-lt"/>
              <a:ea typeface="+mn-ea"/>
              <a:cs typeface="+mn-cs"/>
            </a:rPr>
            <a:t>C'est la démonstration la plus importante : le résultat final est </a:t>
          </a:r>
          <a:r>
            <a:rPr lang="fr-FR" sz="1100" b="1">
              <a:solidFill>
                <a:schemeClr val="tx1"/>
              </a:solidFill>
              <a:effectLst/>
              <a:latin typeface="+mn-lt"/>
              <a:ea typeface="+mn-ea"/>
              <a:cs typeface="+mn-cs"/>
            </a:rPr>
            <a:t>toujours une affectation stable</a:t>
          </a:r>
          <a:r>
            <a:rPr lang="fr-FR" sz="1100">
              <a:solidFill>
                <a:schemeClr val="tx1"/>
              </a:solidFill>
              <a:effectLst/>
              <a:latin typeface="+mn-lt"/>
              <a:ea typeface="+mn-ea"/>
              <a:cs typeface="+mn-cs"/>
            </a:rPr>
            <a:t>.</a:t>
          </a:r>
        </a:p>
        <a:p>
          <a:pPr rtl="0"/>
          <a:r>
            <a:rPr lang="fr-FR" sz="1100" b="1">
              <a:solidFill>
                <a:schemeClr val="tx1"/>
              </a:solidFill>
              <a:effectLst/>
              <a:latin typeface="+mn-lt"/>
              <a:ea typeface="+mn-ea"/>
              <a:cs typeface="+mn-cs"/>
            </a:rPr>
            <a:t>L'idée de la preuve (par l'absurde) est la suivante :</a:t>
          </a:r>
          <a:endParaRPr lang="fr-FR" sz="1100">
            <a:solidFill>
              <a:schemeClr val="tx1"/>
            </a:solidFill>
            <a:effectLst/>
            <a:latin typeface="+mn-lt"/>
            <a:ea typeface="+mn-ea"/>
            <a:cs typeface="+mn-cs"/>
          </a:endParaRPr>
        </a:p>
        <a:p>
          <a:pPr rtl="0"/>
          <a:r>
            <a:rPr lang="fr-FR" sz="1100">
              <a:solidFill>
                <a:schemeClr val="tx1"/>
              </a:solidFill>
              <a:effectLst/>
              <a:latin typeface="+mn-lt"/>
              <a:ea typeface="+mn-ea"/>
              <a:cs typeface="+mn-cs"/>
            </a:rPr>
            <a:t>Imaginons que le résultat final soit </a:t>
          </a:r>
          <a:r>
            <a:rPr lang="fr-FR" sz="1100" b="1">
              <a:solidFill>
                <a:schemeClr val="tx1"/>
              </a:solidFill>
              <a:effectLst/>
              <a:latin typeface="+mn-lt"/>
              <a:ea typeface="+mn-ea"/>
              <a:cs typeface="+mn-cs"/>
            </a:rPr>
            <a:t>instable</a:t>
          </a:r>
          <a:r>
            <a:rPr lang="fr-FR" sz="1100">
              <a:solidFill>
                <a:schemeClr val="tx1"/>
              </a:solidFill>
              <a:effectLst/>
              <a:latin typeface="+mn-lt"/>
              <a:ea typeface="+mn-ea"/>
              <a:cs typeface="+mn-cs"/>
            </a:rPr>
            <a:t>.</a:t>
          </a:r>
        </a:p>
        <a:p>
          <a:pPr rtl="0"/>
          <a:r>
            <a:rPr lang="fr-FR" sz="1100">
              <a:solidFill>
                <a:schemeClr val="tx1"/>
              </a:solidFill>
              <a:effectLst/>
              <a:latin typeface="+mn-lt"/>
              <a:ea typeface="+mn-ea"/>
              <a:cs typeface="+mn-cs"/>
            </a:rPr>
            <a:t>Cela signifie qu'il existe une "paire frustrée" : un élève </a:t>
          </a:r>
          <a:r>
            <a:rPr lang="fr-FR" sz="1100" b="1">
              <a:solidFill>
                <a:schemeClr val="tx1"/>
              </a:solidFill>
              <a:effectLst/>
              <a:latin typeface="+mn-lt"/>
              <a:ea typeface="+mn-ea"/>
              <a:cs typeface="+mn-cs"/>
            </a:rPr>
            <a:t>Alex</a:t>
          </a:r>
          <a:r>
            <a:rPr lang="fr-FR" sz="1100">
              <a:solidFill>
                <a:schemeClr val="tx1"/>
              </a:solidFill>
              <a:effectLst/>
              <a:latin typeface="+mn-lt"/>
              <a:ea typeface="+mn-ea"/>
              <a:cs typeface="+mn-cs"/>
            </a:rPr>
            <a:t> et un projet </a:t>
          </a:r>
          <a:r>
            <a:rPr lang="fr-FR" sz="1100" b="1">
              <a:solidFill>
                <a:schemeClr val="tx1"/>
              </a:solidFill>
              <a:effectLst/>
              <a:latin typeface="+mn-lt"/>
              <a:ea typeface="+mn-ea"/>
              <a:cs typeface="+mn-cs"/>
            </a:rPr>
            <a:t>Projet Z</a:t>
          </a:r>
          <a:r>
            <a:rPr lang="fr-FR" sz="1100">
              <a:solidFill>
                <a:schemeClr val="tx1"/>
              </a:solidFill>
              <a:effectLst/>
              <a:latin typeface="+mn-lt"/>
              <a:ea typeface="+mn-ea"/>
              <a:cs typeface="+mn-cs"/>
            </a:rPr>
            <a:t> qui se préfèrent mutuellement à leurs affectations finales.</a:t>
          </a:r>
        </a:p>
        <a:p>
          <a:pPr rtl="0"/>
          <a:r>
            <a:rPr lang="fr-FR" sz="1100">
              <a:solidFill>
                <a:schemeClr val="tx1"/>
              </a:solidFill>
              <a:effectLst/>
              <a:latin typeface="+mn-lt"/>
              <a:ea typeface="+mn-ea"/>
              <a:cs typeface="+mn-cs"/>
            </a:rPr>
            <a:t>Si Alex préfère le Projet Z à son projet final, cela veut dire qu'il a </a:t>
          </a:r>
          <a:r>
            <a:rPr lang="fr-FR" sz="1100" b="1">
              <a:solidFill>
                <a:schemeClr val="tx1"/>
              </a:solidFill>
              <a:effectLst/>
              <a:latin typeface="+mn-lt"/>
              <a:ea typeface="+mn-ea"/>
              <a:cs typeface="+mn-cs"/>
            </a:rPr>
            <a:t>obligatoirement proposé au Projet Z avant</a:t>
          </a:r>
          <a:r>
            <a:rPr lang="fr-FR" sz="1100">
              <a:solidFill>
                <a:schemeClr val="tx1"/>
              </a:solidFill>
              <a:effectLst/>
              <a:latin typeface="+mn-lt"/>
              <a:ea typeface="+mn-ea"/>
              <a:cs typeface="+mn-cs"/>
            </a:rPr>
            <a:t> de proposer à son projet final (car il suit sa liste de vœux dans l'ordre).</a:t>
          </a:r>
        </a:p>
        <a:p>
          <a:pPr rtl="0"/>
          <a:r>
            <a:rPr lang="fr-FR" sz="1100">
              <a:solidFill>
                <a:schemeClr val="tx1"/>
              </a:solidFill>
              <a:effectLst/>
              <a:latin typeface="+mn-lt"/>
              <a:ea typeface="+mn-ea"/>
              <a:cs typeface="+mn-cs"/>
            </a:rPr>
            <a:t>Quand Alex a proposé au Projet Z, deux choses ont pu se passer :</a:t>
          </a:r>
        </a:p>
        <a:p>
          <a:pPr lvl="1" rtl="0"/>
          <a:r>
            <a:rPr lang="fr-FR" sz="1100">
              <a:solidFill>
                <a:schemeClr val="tx1"/>
              </a:solidFill>
              <a:effectLst/>
              <a:latin typeface="+mn-lt"/>
              <a:ea typeface="+mn-ea"/>
              <a:cs typeface="+mn-cs"/>
            </a:rPr>
            <a:t>Soit le Projet Z l'a </a:t>
          </a:r>
          <a:r>
            <a:rPr lang="fr-FR" sz="1100" b="1">
              <a:solidFill>
                <a:schemeClr val="tx1"/>
              </a:solidFill>
              <a:effectLst/>
              <a:latin typeface="+mn-lt"/>
              <a:ea typeface="+mn-ea"/>
              <a:cs typeface="+mn-cs"/>
            </a:rPr>
            <a:t>rejeté directement</a:t>
          </a:r>
          <a:r>
            <a:rPr lang="fr-FR" sz="1100">
              <a:solidFill>
                <a:schemeClr val="tx1"/>
              </a:solidFill>
              <a:effectLst/>
              <a:latin typeface="+mn-lt"/>
              <a:ea typeface="+mn-ea"/>
              <a:cs typeface="+mn-cs"/>
            </a:rPr>
            <a:t> pour des élèves qu'il préférait déjà.</a:t>
          </a:r>
        </a:p>
        <a:p>
          <a:pPr lvl="1" rtl="0"/>
          <a:r>
            <a:rPr lang="fr-FR" sz="1100">
              <a:solidFill>
                <a:schemeClr val="tx1"/>
              </a:solidFill>
              <a:effectLst/>
              <a:latin typeface="+mn-lt"/>
              <a:ea typeface="+mn-ea"/>
              <a:cs typeface="+mn-cs"/>
            </a:rPr>
            <a:t>Soit le Projet Z l'a </a:t>
          </a:r>
          <a:r>
            <a:rPr lang="fr-FR" sz="1100" b="1">
              <a:solidFill>
                <a:schemeClr val="tx1"/>
              </a:solidFill>
              <a:effectLst/>
              <a:latin typeface="+mn-lt"/>
              <a:ea typeface="+mn-ea"/>
              <a:cs typeface="+mn-cs"/>
            </a:rPr>
            <a:t>accepté provisoirement</a:t>
          </a:r>
          <a:r>
            <a:rPr lang="fr-FR" sz="1100">
              <a:solidFill>
                <a:schemeClr val="tx1"/>
              </a:solidFill>
              <a:effectLst/>
              <a:latin typeface="+mn-lt"/>
              <a:ea typeface="+mn-ea"/>
              <a:cs typeface="+mn-cs"/>
            </a:rPr>
            <a:t>, puis l'a </a:t>
          </a:r>
          <a:r>
            <a:rPr lang="fr-FR" sz="1100" b="1">
              <a:solidFill>
                <a:schemeClr val="tx1"/>
              </a:solidFill>
              <a:effectLst/>
              <a:latin typeface="+mn-lt"/>
              <a:ea typeface="+mn-ea"/>
              <a:cs typeface="+mn-cs"/>
            </a:rPr>
            <a:t>évincé plus tard</a:t>
          </a:r>
          <a:r>
            <a:rPr lang="fr-FR" sz="1100">
              <a:solidFill>
                <a:schemeClr val="tx1"/>
              </a:solidFill>
              <a:effectLst/>
              <a:latin typeface="+mn-lt"/>
              <a:ea typeface="+mn-ea"/>
              <a:cs typeface="+mn-cs"/>
            </a:rPr>
            <a:t> pour un autre élève qu'il jugeait encore meilleur.</a:t>
          </a:r>
        </a:p>
        <a:p>
          <a:pPr rtl="0"/>
          <a:r>
            <a:rPr lang="fr-FR" sz="1100">
              <a:solidFill>
                <a:schemeClr val="tx1"/>
              </a:solidFill>
              <a:effectLst/>
              <a:latin typeface="+mn-lt"/>
              <a:ea typeface="+mn-ea"/>
              <a:cs typeface="+mn-cs"/>
            </a:rPr>
            <a:t>Dans les deux cas, cela signifie que le Projet Z a terminé avec une équipe d'élèves qu'il </a:t>
          </a:r>
          <a:r>
            <a:rPr lang="fr-FR" sz="1100" b="1">
              <a:solidFill>
                <a:schemeClr val="tx1"/>
              </a:solidFill>
              <a:effectLst/>
              <a:latin typeface="+mn-lt"/>
              <a:ea typeface="+mn-ea"/>
              <a:cs typeface="+mn-cs"/>
            </a:rPr>
            <a:t>préfère tous à Alex</a:t>
          </a:r>
          <a:r>
            <a:rPr lang="fr-FR" sz="1100">
              <a:solidFill>
                <a:schemeClr val="tx1"/>
              </a:solidFill>
              <a:effectLst/>
              <a:latin typeface="+mn-lt"/>
              <a:ea typeface="+mn-ea"/>
              <a:cs typeface="+mn-cs"/>
            </a:rPr>
            <a:t>.</a:t>
          </a:r>
        </a:p>
        <a:p>
          <a:pPr rtl="0"/>
          <a:r>
            <a:rPr lang="fr-FR" sz="1100">
              <a:solidFill>
                <a:schemeClr val="tx1"/>
              </a:solidFill>
              <a:effectLst/>
              <a:latin typeface="+mn-lt"/>
              <a:ea typeface="+mn-ea"/>
              <a:cs typeface="+mn-cs"/>
            </a:rPr>
            <a:t>Ceci est une </a:t>
          </a:r>
          <a:r>
            <a:rPr lang="fr-FR" sz="1100" b="1">
              <a:solidFill>
                <a:schemeClr val="tx1"/>
              </a:solidFill>
              <a:effectLst/>
              <a:latin typeface="+mn-lt"/>
              <a:ea typeface="+mn-ea"/>
              <a:cs typeface="+mn-cs"/>
            </a:rPr>
            <a:t>contradiction</a:t>
          </a:r>
          <a:r>
            <a:rPr lang="fr-FR" sz="1100">
              <a:solidFill>
                <a:schemeClr val="tx1"/>
              </a:solidFill>
              <a:effectLst/>
              <a:latin typeface="+mn-lt"/>
              <a:ea typeface="+mn-ea"/>
              <a:cs typeface="+mn-cs"/>
            </a:rPr>
            <a:t> avec notre hypothèse de départ qui disait que le Projet Z préférait Alex à l'un de ses élèves finaux.</a:t>
          </a:r>
        </a:p>
        <a:p>
          <a:pPr rtl="0"/>
          <a:r>
            <a:rPr lang="fr-FR" sz="1100">
              <a:solidFill>
                <a:schemeClr val="tx1"/>
              </a:solidFill>
              <a:effectLst/>
              <a:latin typeface="+mn-lt"/>
              <a:ea typeface="+mn-ea"/>
              <a:cs typeface="+mn-cs"/>
            </a:rPr>
            <a:t>Conclusion : l'hypothèse d'une affectation instable est impossible. Le résultat est donc toujours stable.</a:t>
          </a:r>
        </a:p>
        <a:p>
          <a:pPr rtl="0"/>
          <a:r>
            <a:rPr lang="fr-FR" sz="1100" b="1">
              <a:solidFill>
                <a:schemeClr val="tx1"/>
              </a:solidFill>
              <a:effectLst/>
              <a:latin typeface="+mn-lt"/>
              <a:ea typeface="+mn-ea"/>
              <a:cs typeface="+mn-cs"/>
            </a:rPr>
            <a:t>3. L'Optimalité et le "Biais" de l'Algorithme 🏆</a:t>
          </a:r>
        </a:p>
        <a:p>
          <a:pPr rtl="0"/>
          <a:r>
            <a:rPr lang="fr-FR" sz="1100">
              <a:solidFill>
                <a:schemeClr val="tx1"/>
              </a:solidFill>
              <a:effectLst/>
              <a:latin typeface="+mn-lt"/>
              <a:ea typeface="+mn-ea"/>
              <a:cs typeface="+mn-cs"/>
            </a:rPr>
            <a:t>La démonstration révèle aussi un "biais" fascinant : l'algorithme favorise systématiquement le groupe qui fait les propositions.</a:t>
          </a:r>
        </a:p>
        <a:p>
          <a:pPr rtl="0"/>
          <a:r>
            <a:rPr lang="fr-FR" sz="1100" b="1">
              <a:solidFill>
                <a:schemeClr val="tx1"/>
              </a:solidFill>
              <a:effectLst/>
              <a:latin typeface="+mn-lt"/>
              <a:ea typeface="+mn-ea"/>
              <a:cs typeface="+mn-cs"/>
            </a:rPr>
            <a:t>Optimal pour les élèves (ceux qui proposent) :</a:t>
          </a:r>
          <a:r>
            <a:rPr lang="fr-FR" sz="1100">
              <a:solidFill>
                <a:schemeClr val="tx1"/>
              </a:solidFill>
              <a:effectLst/>
              <a:latin typeface="+mn-lt"/>
              <a:ea typeface="+mn-ea"/>
              <a:cs typeface="+mn-cs"/>
            </a:rPr>
            <a:t> L'affectation obtenue est la </a:t>
          </a:r>
          <a:r>
            <a:rPr lang="fr-FR" sz="1100" b="1">
              <a:solidFill>
                <a:schemeClr val="tx1"/>
              </a:solidFill>
              <a:effectLst/>
              <a:latin typeface="+mn-lt"/>
              <a:ea typeface="+mn-ea"/>
              <a:cs typeface="+mn-cs"/>
            </a:rPr>
            <a:t>meilleure affectation stable possible</a:t>
          </a:r>
          <a:r>
            <a:rPr lang="fr-FR" sz="1100">
              <a:solidFill>
                <a:schemeClr val="tx1"/>
              </a:solidFill>
              <a:effectLst/>
              <a:latin typeface="+mn-lt"/>
              <a:ea typeface="+mn-ea"/>
              <a:cs typeface="+mn-cs"/>
            </a:rPr>
            <a:t> pour les élèves. Aucun élève ne pourrait obtenir un meilleur projet dans une </a:t>
          </a:r>
          <a:r>
            <a:rPr lang="fr-FR" sz="1100" i="1">
              <a:solidFill>
                <a:schemeClr val="tx1"/>
              </a:solidFill>
              <a:effectLst/>
              <a:latin typeface="+mn-lt"/>
              <a:ea typeface="+mn-ea"/>
              <a:cs typeface="+mn-cs"/>
            </a:rPr>
            <a:t>autre</a:t>
          </a:r>
          <a:r>
            <a:rPr lang="fr-FR" sz="1100">
              <a:solidFill>
                <a:schemeClr val="tx1"/>
              </a:solidFill>
              <a:effectLst/>
              <a:latin typeface="+mn-lt"/>
              <a:ea typeface="+mn-ea"/>
              <a:cs typeface="+mn-cs"/>
            </a:rPr>
            <a:t> affectation qui serait également stable.</a:t>
          </a:r>
        </a:p>
        <a:p>
          <a:pPr rtl="0"/>
          <a:r>
            <a:rPr lang="fr-FR" sz="1100" b="1">
              <a:solidFill>
                <a:schemeClr val="tx1"/>
              </a:solidFill>
              <a:effectLst/>
              <a:latin typeface="+mn-lt"/>
              <a:ea typeface="+mn-ea"/>
              <a:cs typeface="+mn-cs"/>
            </a:rPr>
            <a:t>Sous optimal pour les projets (ceux qui reçoivent) :</a:t>
          </a:r>
          <a:r>
            <a:rPr lang="fr-FR" sz="1100">
              <a:solidFill>
                <a:schemeClr val="tx1"/>
              </a:solidFill>
              <a:effectLst/>
              <a:latin typeface="+mn-lt"/>
              <a:ea typeface="+mn-ea"/>
              <a:cs typeface="+mn-cs"/>
            </a:rPr>
            <a:t> Inversement, l'affectation obtenue est la </a:t>
          </a:r>
          <a:r>
            <a:rPr lang="fr-FR" sz="1100" b="1">
              <a:solidFill>
                <a:schemeClr val="tx1"/>
              </a:solidFill>
              <a:effectLst/>
              <a:latin typeface="+mn-lt"/>
              <a:ea typeface="+mn-ea"/>
              <a:cs typeface="+mn-cs"/>
            </a:rPr>
            <a:t>pire affectation stable possible</a:t>
          </a:r>
          <a:r>
            <a:rPr lang="fr-FR" sz="1100">
              <a:solidFill>
                <a:schemeClr val="tx1"/>
              </a:solidFill>
              <a:effectLst/>
              <a:latin typeface="+mn-lt"/>
              <a:ea typeface="+mn-ea"/>
              <a:cs typeface="+mn-cs"/>
            </a:rPr>
            <a:t> pour les projets.</a:t>
          </a:r>
        </a:p>
        <a:p>
          <a:pPr rtl="0"/>
          <a:r>
            <a:rPr lang="fr-FR" sz="1100">
              <a:solidFill>
                <a:schemeClr val="tx1"/>
              </a:solidFill>
              <a:effectLst/>
              <a:latin typeface="+mn-lt"/>
              <a:ea typeface="+mn-ea"/>
              <a:cs typeface="+mn-cs"/>
            </a:rPr>
            <a:t>Si les projets proposaient aux élèves, le résultat serait tout aussi stable, mais il serait optimal pour les projets et le pire possible pour les élèves.</a:t>
          </a:r>
        </a:p>
        <a:p>
          <a:pPr rtl="0"/>
          <a:endParaRPr lang="fr-FR" sz="1100">
            <a:solidFill>
              <a:schemeClr val="tx1"/>
            </a:solidFill>
            <a:effectLst/>
            <a:latin typeface="+mn-lt"/>
            <a:ea typeface="+mn-ea"/>
            <a:cs typeface="+mn-cs"/>
          </a:endParaRPr>
        </a:p>
        <a:p>
          <a:pPr rtl="0"/>
          <a:endParaRPr lang="fr-FR" sz="1100">
            <a:solidFill>
              <a:schemeClr val="tx1"/>
            </a:solidFill>
            <a:effectLst/>
            <a:latin typeface="+mn-lt"/>
            <a:ea typeface="+mn-ea"/>
            <a:cs typeface="+mn-cs"/>
          </a:endParaRPr>
        </a:p>
        <a:p>
          <a:r>
            <a:rPr lang="fr-FR" b="1"/>
            <a:t>La stabilité prime sur le remplissage minimum. Si un projet n'atteint pas sa capacité minimale, c'est parce qu'il n'y avait pas assez d'élèves intéressés et/ou bien classés pour le remplir de manière stable. La macro mettra en évidence ces cas en jaune pour que vous puissiez les traiter manuellement si nécessaire</a:t>
          </a:r>
          <a:r>
            <a:rPr lang="fr-FR"/>
            <a:t>.</a:t>
          </a:r>
        </a:p>
        <a:p>
          <a:endParaRPr lang="fr-FR" sz="1100"/>
        </a:p>
        <a:p>
          <a:r>
            <a:rPr lang="fr-FR" b="1"/>
            <a:t>Nombre de voeux par élève </a:t>
          </a:r>
        </a:p>
        <a:p>
          <a:r>
            <a:rPr lang="fr-FR"/>
            <a:t>On peut distinguer trois approches :</a:t>
          </a:r>
        </a:p>
        <a:p>
          <a:r>
            <a:rPr lang="fr-FR" b="1"/>
            <a:t>Le Minimum Vital (3 à 5 vœux) :</a:t>
          </a:r>
          <a:r>
            <a:rPr lang="fr-FR"/>
            <a:t> C'est une stratégie risquée, uniquement viable pour un élève qui est certain d'être très bien classé par les projets qu'il vise. S'il est rejeté de ses quelques choix, il se retrouvera sans affectation.</a:t>
          </a:r>
        </a:p>
        <a:p>
          <a:r>
            <a:rPr lang="fr-FR" b="1"/>
            <a:t>La Stratégie Équilibrée (8 à 15 vœux) :</a:t>
          </a:r>
          <a:r>
            <a:rPr lang="fr-FR"/>
            <a:t> C'est l'approche la plus recommandée. Elle permet à l'élève de lister :</a:t>
          </a:r>
        </a:p>
        <a:p>
          <a:pPr lvl="1"/>
          <a:r>
            <a:rPr lang="fr-FR"/>
            <a:t>Quelques </a:t>
          </a:r>
          <a:r>
            <a:rPr lang="fr-FR" b="1"/>
            <a:t>vœux de rêve</a:t>
          </a:r>
          <a:r>
            <a:rPr lang="fr-FR"/>
            <a:t> (ceux qu'il veut le plus, même s'ils sont très demandés).</a:t>
          </a:r>
        </a:p>
        <a:p>
          <a:pPr lvl="1"/>
          <a:r>
            <a:rPr lang="fr-FR"/>
            <a:t>Plusieurs </a:t>
          </a:r>
          <a:r>
            <a:rPr lang="fr-FR" b="1"/>
            <a:t>vœux réalistes</a:t>
          </a:r>
          <a:r>
            <a:rPr lang="fr-FR"/>
            <a:t> (ceux pour lesquels il a de bonnes chances).</a:t>
          </a:r>
        </a:p>
        <a:p>
          <a:pPr lvl="1"/>
          <a:r>
            <a:rPr lang="fr-FR"/>
            <a:t>Quelques </a:t>
          </a:r>
          <a:r>
            <a:rPr lang="fr-FR" b="1"/>
            <a:t>vœux de sécurité</a:t>
          </a:r>
          <a:r>
            <a:rPr lang="fr-FR"/>
            <a:t> (ceux qui l'intéressent moins mais où il est presque certain d'être accepté).</a:t>
          </a:r>
        </a:p>
        <a:p>
          <a:r>
            <a:rPr lang="fr-FR" b="1"/>
            <a:t>La Sécurité Maximale (Plus de 15 vœux) :</a:t>
          </a:r>
          <a:r>
            <a:rPr lang="fr-FR"/>
            <a:t> Dans un environnement très compétitif (beaucoup d'élèves pour peu de places), plus un élève fait de vœux, plus il se protège contre le risque de n'avoir aucune affectation.</a:t>
          </a:r>
        </a:p>
        <a:p>
          <a:r>
            <a:rPr lang="fr-FR" b="1"/>
            <a:t>Le Plus Important à Retenir</a:t>
          </a:r>
        </a:p>
        <a:p>
          <a:r>
            <a:rPr lang="fr-FR"/>
            <a:t>Plus que le nombre, c'est </a:t>
          </a:r>
          <a:r>
            <a:rPr lang="fr-FR" b="1"/>
            <a:t>l'ordre de vos vœux</a:t>
          </a:r>
          <a:r>
            <a:rPr lang="fr-FR"/>
            <a:t> qui est crucial.</a:t>
          </a:r>
        </a:p>
        <a:p>
          <a:r>
            <a:rPr lang="fr-FR"/>
            <a:t>L'algorithme est conçu pour vous obtenir le projet le plus haut placé possible dans votre liste. Il n'y a </a:t>
          </a:r>
          <a:r>
            <a:rPr lang="fr-FR" b="1"/>
            <a:t>aucun intérêt stratégique à ne pas mettre votre vrai premier choix en premier</a:t>
          </a:r>
          <a:r>
            <a:rPr lang="fr-FR"/>
            <a:t>, par peur qu'il soit trop sélectif. Si vous êtes rejeté de votre vœu n°1, l'algorithme essaiera automatiquement votre vœu n°2, puis le n°3, et ainsi de suite.</a:t>
          </a:r>
        </a:p>
        <a:p>
          <a:r>
            <a:rPr lang="fr-FR" b="1"/>
            <a:t>En résumé :</a:t>
          </a:r>
          <a:r>
            <a:rPr lang="fr-FR"/>
            <a:t> Faites une liste sincère de tous les projets qui vous intéressent, classés par ordre de préférence réelle. Une dizaine de vœux est souvent un bon équilibre</a:t>
          </a:r>
        </a:p>
        <a:p>
          <a:endParaRPr lang="fr-FR" sz="1100"/>
        </a:p>
      </xdr:txBody>
    </xdr:sp>
    <xdr:clientData/>
  </xdr:oneCellAnchor>
  <mc:AlternateContent xmlns:mc="http://schemas.openxmlformats.org/markup-compatibility/2006">
    <mc:Choice xmlns:a14="http://schemas.microsoft.com/office/drawing/2010/main" Requires="a14">
      <xdr:twoCellAnchor editAs="oneCell">
        <xdr:from>
          <xdr:col>1</xdr:col>
          <xdr:colOff>85725</xdr:colOff>
          <xdr:row>25</xdr:row>
          <xdr:rowOff>85725</xdr:rowOff>
        </xdr:from>
        <xdr:to>
          <xdr:col>1</xdr:col>
          <xdr:colOff>714375</xdr:colOff>
          <xdr:row>26</xdr:row>
          <xdr:rowOff>133350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219075</xdr:colOff>
          <xdr:row>1</xdr:row>
          <xdr:rowOff>66675</xdr:rowOff>
        </xdr:from>
        <xdr:to>
          <xdr:col>4</xdr:col>
          <xdr:colOff>581025</xdr:colOff>
          <xdr:row>2</xdr:row>
          <xdr:rowOff>114300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Test Array List - Composant .net OK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635000</xdr:colOff>
      <xdr:row>2</xdr:row>
      <xdr:rowOff>0</xdr:rowOff>
    </xdr:from>
    <xdr:to>
      <xdr:col>7</xdr:col>
      <xdr:colOff>381000</xdr:colOff>
      <xdr:row>18</xdr:row>
      <xdr:rowOff>127000</xdr:rowOff>
    </xdr:to>
    <xdr:graphicFrame macro="">
      <xdr:nvGraphicFramePr>
        <xdr:cNvPr id="5" name="Graphique 4">
          <a:extLst>
            <a:ext uri="{FF2B5EF4-FFF2-40B4-BE49-F238E27FC236}">
              <a16:creationId xmlns:a16="http://schemas.microsoft.com/office/drawing/2014/main" id="{388E00FC-6AB7-78EF-3CF8-E88CEF42BE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254000</xdr:colOff>
      <xdr:row>2</xdr:row>
      <xdr:rowOff>0</xdr:rowOff>
    </xdr:from>
    <xdr:to>
      <xdr:col>15</xdr:col>
      <xdr:colOff>0</xdr:colOff>
      <xdr:row>18</xdr:row>
      <xdr:rowOff>127000</xdr:rowOff>
    </xdr:to>
    <xdr:graphicFrame macro="">
      <xdr:nvGraphicFramePr>
        <xdr:cNvPr id="6" name="Graphique 5">
          <a:extLst>
            <a:ext uri="{FF2B5EF4-FFF2-40B4-BE49-F238E27FC236}">
              <a16:creationId xmlns:a16="http://schemas.microsoft.com/office/drawing/2014/main" id="{59316B00-29BB-C325-F21C-498AABEEEF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635000</xdr:colOff>
      <xdr:row>20</xdr:row>
      <xdr:rowOff>0</xdr:rowOff>
    </xdr:from>
    <xdr:to>
      <xdr:col>7</xdr:col>
      <xdr:colOff>381000</xdr:colOff>
      <xdr:row>36</xdr:row>
      <xdr:rowOff>127000</xdr:rowOff>
    </xdr:to>
    <xdr:graphicFrame macro="">
      <xdr:nvGraphicFramePr>
        <xdr:cNvPr id="7" name="Graphique 6">
          <a:extLst>
            <a:ext uri="{FF2B5EF4-FFF2-40B4-BE49-F238E27FC236}">
              <a16:creationId xmlns:a16="http://schemas.microsoft.com/office/drawing/2014/main" id="{34629816-3AA9-0566-23A3-3E8C6F414E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FARCY Valery" id="{28E4F208-FC44-4254-B10C-0E64386853ED}" userId="S::valery.farcy@esiea.fr::ee2783dc-ff10-4cc1-b85f-716107bd9b03" providerId="AD"/>
</personList>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D16" dT="2025-07-03T14:32:45.87" personId="{28E4F208-FC44-4254-B10C-0E64386853ED}" id="{25C3A222-D39A-45EC-9176-0812B503121E}">
    <text xml:space="preserve">Moyenne Satisfaction Élèves : La moyenne des rangs de vœu des élèves de l'équipe. Plus ce chiffre est bas, plus l'équipe est contente d'être là.
Écart-type Satis. Élèves : La dispersion de cette satisfaction.
Moyenne Qualité Équipe : La moyenne des rangs que le projet a donnés aux membres de son équipe. Plus ce chiffre est bas, plus le projet est content de son équipe.
Écart-type Qualité Équipe : La dispersion de cette "qualité".
Membres de l'équipe : La liste des élèves affectés.
</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s://g.co/gemini/share/2ccfcafd0a61" TargetMode="External"/><Relationship Id="rId1" Type="http://schemas.openxmlformats.org/officeDocument/2006/relationships/hyperlink" Target="https://gemini.google.com/app/b783535efbd61b74"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microsoft.com/office/2017/10/relationships/threadedComment" Target="../threadedComments/threadedComment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B6FF7A-9346-4079-8FCE-A5BDEBA58BAB}">
  <sheetPr codeName="Feuil1"/>
  <dimension ref="A1:L26"/>
  <sheetViews>
    <sheetView showGridLines="0" zoomScale="145" zoomScaleNormal="145" workbookViewId="0">
      <selection activeCell="H9" sqref="H9"/>
    </sheetView>
  </sheetViews>
  <sheetFormatPr baseColWidth="10" defaultRowHeight="15" x14ac:dyDescent="0.25"/>
  <sheetData>
    <row r="1" spans="1:10" x14ac:dyDescent="0.25">
      <c r="A1" s="1" t="s">
        <v>26</v>
      </c>
    </row>
    <row r="2" spans="1:10" x14ac:dyDescent="0.25">
      <c r="A2" s="1"/>
    </row>
    <row r="3" spans="1:10" x14ac:dyDescent="0.25">
      <c r="A3" s="1"/>
    </row>
    <row r="5" spans="1:10" x14ac:dyDescent="0.25">
      <c r="H5" s="1" t="s">
        <v>25</v>
      </c>
      <c r="J5" s="1" t="s">
        <v>24</v>
      </c>
    </row>
    <row r="7" spans="1:10" x14ac:dyDescent="0.25">
      <c r="A7" s="3"/>
      <c r="B7" s="3"/>
      <c r="C7" s="3"/>
      <c r="D7" s="3"/>
      <c r="E7" s="3"/>
      <c r="F7" s="3"/>
      <c r="G7" s="3"/>
      <c r="H7" s="1" t="s">
        <v>23</v>
      </c>
      <c r="I7" s="3"/>
      <c r="J7" s="3"/>
    </row>
    <row r="9" spans="1:10" x14ac:dyDescent="0.25">
      <c r="H9" s="1" t="s">
        <v>45</v>
      </c>
      <c r="I9" s="1" t="s">
        <v>23</v>
      </c>
    </row>
    <row r="13" spans="1:10" x14ac:dyDescent="0.25">
      <c r="H13" s="1" t="s">
        <v>46</v>
      </c>
      <c r="J13" s="3"/>
    </row>
    <row r="14" spans="1:10" x14ac:dyDescent="0.25">
      <c r="H14" s="1"/>
    </row>
    <row r="15" spans="1:10" x14ac:dyDescent="0.25">
      <c r="H15" s="1"/>
    </row>
    <row r="16" spans="1:10" x14ac:dyDescent="0.25">
      <c r="H16" s="1" t="s">
        <v>27</v>
      </c>
    </row>
    <row r="17" spans="1:12" x14ac:dyDescent="0.25">
      <c r="H17" s="1"/>
    </row>
    <row r="19" spans="1:12" x14ac:dyDescent="0.25">
      <c r="A19" t="s">
        <v>7</v>
      </c>
    </row>
    <row r="20" spans="1:12" x14ac:dyDescent="0.25">
      <c r="A20" s="1" t="s">
        <v>6</v>
      </c>
    </row>
    <row r="23" spans="1:12" x14ac:dyDescent="0.25">
      <c r="H23" s="1" t="s">
        <v>44</v>
      </c>
      <c r="J23" s="1" t="s">
        <v>47</v>
      </c>
      <c r="L23" s="1" t="s">
        <v>73</v>
      </c>
    </row>
    <row r="26" spans="1:12" x14ac:dyDescent="0.25">
      <c r="H26" s="1" t="s">
        <v>50</v>
      </c>
    </row>
  </sheetData>
  <hyperlinks>
    <hyperlink ref="A20" r:id="rId1" xr:uid="{418D23C3-6EE9-4A74-A591-03DABAF68657}"/>
    <hyperlink ref="H5" location="Préférences_Élèves!A1" display="Préférences_Élèves!A1" xr:uid="{FA669134-C213-46A1-BCDB-C4CB229E568D}"/>
    <hyperlink ref="J5" location="Préférences_Projets!A1" display="Préférences_Projets!A1" xr:uid="{E4A86696-A6FD-461F-9142-51B5A2248E9C}"/>
    <hyperlink ref="H7" location="Résultats!A1" display="Résultats!A1" xr:uid="{45375DAA-457F-42A7-9343-C83C8784216F}"/>
    <hyperlink ref="H9" location="Log_Affectation!A1" display="Log_Affectation!A1" xr:uid="{57497C0C-48A8-41EE-90F6-CB0F6EC1E588}"/>
    <hyperlink ref="H13" location="Rapport_Satisfaction!A1" display="Rapport_Satisfaction!A1" xr:uid="{1F451973-3D70-4D66-B414-C3D58B4E0919}"/>
    <hyperlink ref="H16" location="Affectations_par_Projet!A1" display="Affectations_par_Projet!A1" xr:uid="{B7F263D5-BB5B-4F54-A6FA-D5A474991B0D}"/>
    <hyperlink ref="A1" r:id="rId2" xr:uid="{EFD4D25E-74BF-4322-8A9F-BE0A1F0A2C26}"/>
    <hyperlink ref="I9" location="Résultats!A1" display="Résultats!A1" xr:uid="{A74EB19B-83AB-452C-A5A4-C47060C5E937}"/>
    <hyperlink ref="H23" location="Bilan_Performance!A1" display="Bilan_Performance!A1" xr:uid="{9654CA06-38A4-4EEB-A27E-D3162A2C1CE4}"/>
    <hyperlink ref="J23" location="Details_Suivi!A1" display="Details_Suivi!A1" xr:uid="{4AFC283B-A689-4E74-8E08-283F2895EB7B}"/>
    <hyperlink ref="H26" location="Verification_Finale!A1" display="Verification_Finale!A1" xr:uid="{F5AA5B1F-94A6-4116-BF69-D6FA2A592857}"/>
    <hyperlink ref="L23" location="Dashboard!A1" display="Dashboard!A1" xr:uid="{B898F39F-125D-4BA1-8793-F60D59DFC3B5}"/>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32" r:id="rId6" name="Button 8">
              <controlPr defaultSize="0" print="0" autoFill="0" autoPict="0" macro="[0]!Feuil3.GenererDonneesDeTest">
                <anchor moveWithCells="1">
                  <from>
                    <xdr:col>0</xdr:col>
                    <xdr:colOff>228600</xdr:colOff>
                    <xdr:row>3</xdr:row>
                    <xdr:rowOff>123825</xdr:rowOff>
                  </from>
                  <to>
                    <xdr:col>4</xdr:col>
                    <xdr:colOff>590550</xdr:colOff>
                    <xdr:row>4</xdr:row>
                    <xdr:rowOff>171450</xdr:rowOff>
                  </to>
                </anchor>
              </controlPr>
            </control>
          </mc:Choice>
        </mc:AlternateContent>
        <mc:AlternateContent xmlns:mc="http://schemas.openxmlformats.org/markup-compatibility/2006">
          <mc:Choice Requires="x14">
            <control shapeId="1036" r:id="rId7" name="Button 12">
              <controlPr defaultSize="0" print="0" autoFill="0" autoPict="0" macro="[0]!Feuil3.AffectationEquipesProjets">
                <anchor moveWithCells="1">
                  <from>
                    <xdr:col>0</xdr:col>
                    <xdr:colOff>323850</xdr:colOff>
                    <xdr:row>6</xdr:row>
                    <xdr:rowOff>38100</xdr:rowOff>
                  </from>
                  <to>
                    <xdr:col>2</xdr:col>
                    <xdr:colOff>742950</xdr:colOff>
                    <xdr:row>7</xdr:row>
                    <xdr:rowOff>85725</xdr:rowOff>
                  </to>
                </anchor>
              </controlPr>
            </control>
          </mc:Choice>
        </mc:AlternateContent>
        <mc:AlternateContent xmlns:mc="http://schemas.openxmlformats.org/markup-compatibility/2006">
          <mc:Choice Requires="x14">
            <control shapeId="1038" r:id="rId8" name="Button 14">
              <controlPr defaultSize="0" print="0" autoFill="0" autoPict="0" macro="[0]!CreerRapportSatisfaction">
                <anchor moveWithCells="1">
                  <from>
                    <xdr:col>0</xdr:col>
                    <xdr:colOff>409575</xdr:colOff>
                    <xdr:row>11</xdr:row>
                    <xdr:rowOff>133350</xdr:rowOff>
                  </from>
                  <to>
                    <xdr:col>3</xdr:col>
                    <xdr:colOff>104775</xdr:colOff>
                    <xdr:row>12</xdr:row>
                    <xdr:rowOff>180975</xdr:rowOff>
                  </to>
                </anchor>
              </controlPr>
            </control>
          </mc:Choice>
        </mc:AlternateContent>
        <mc:AlternateContent xmlns:mc="http://schemas.openxmlformats.org/markup-compatibility/2006">
          <mc:Choice Requires="x14">
            <control shapeId="1039" r:id="rId9" name="Button 15">
              <controlPr defaultSize="0" print="0" autoFill="0" autoPict="0" macro="[0]!Feuil3.AffectationEquipesPasAPas">
                <anchor moveWithCells="1">
                  <from>
                    <xdr:col>0</xdr:col>
                    <xdr:colOff>304800</xdr:colOff>
                    <xdr:row>8</xdr:row>
                    <xdr:rowOff>0</xdr:rowOff>
                  </from>
                  <to>
                    <xdr:col>3</xdr:col>
                    <xdr:colOff>495300</xdr:colOff>
                    <xdr:row>9</xdr:row>
                    <xdr:rowOff>47625</xdr:rowOff>
                  </to>
                </anchor>
              </controlPr>
            </control>
          </mc:Choice>
        </mc:AlternateContent>
        <mc:AlternateContent xmlns:mc="http://schemas.openxmlformats.org/markup-compatibility/2006">
          <mc:Choice Requires="x14">
            <control shapeId="1040" r:id="rId10" name="Button 16">
              <controlPr defaultSize="0" print="0" autoFill="0" autoPict="0" macro="[0]!Feuil3.RemplirAffectationsParProjet">
                <anchor moveWithCells="1">
                  <from>
                    <xdr:col>0</xdr:col>
                    <xdr:colOff>476250</xdr:colOff>
                    <xdr:row>14</xdr:row>
                    <xdr:rowOff>123825</xdr:rowOff>
                  </from>
                  <to>
                    <xdr:col>2</xdr:col>
                    <xdr:colOff>676275</xdr:colOff>
                    <xdr:row>15</xdr:row>
                    <xdr:rowOff>171450</xdr:rowOff>
                  </to>
                </anchor>
              </controlPr>
            </control>
          </mc:Choice>
        </mc:AlternateContent>
        <mc:AlternateContent xmlns:mc="http://schemas.openxmlformats.org/markup-compatibility/2006">
          <mc:Choice Requires="x14">
            <control shapeId="1041" r:id="rId11" name="Button 17">
              <controlPr defaultSize="0" print="0" autoFill="0" autoPict="0" macro="[0]!Feuil3.BilanPerformanceAlgorithme">
                <anchor moveWithCells="1">
                  <from>
                    <xdr:col>0</xdr:col>
                    <xdr:colOff>628650</xdr:colOff>
                    <xdr:row>21</xdr:row>
                    <xdr:rowOff>85725</xdr:rowOff>
                  </from>
                  <to>
                    <xdr:col>2</xdr:col>
                    <xdr:colOff>352425</xdr:colOff>
                    <xdr:row>22</xdr:row>
                    <xdr:rowOff>133350</xdr:rowOff>
                  </to>
                </anchor>
              </controlPr>
            </control>
          </mc:Choice>
        </mc:AlternateContent>
        <mc:AlternateContent xmlns:mc="http://schemas.openxmlformats.org/markup-compatibility/2006">
          <mc:Choice Requires="x14">
            <control shapeId="1043" r:id="rId12" name="Button 19">
              <controlPr defaultSize="0" print="0" autoFill="0" autoPict="0" macro="[0]!VerifierToutesLesDonnees">
                <anchor moveWithCells="1">
                  <from>
                    <xdr:col>1</xdr:col>
                    <xdr:colOff>85725</xdr:colOff>
                    <xdr:row>25</xdr:row>
                    <xdr:rowOff>85725</xdr:rowOff>
                  </from>
                  <to>
                    <xdr:col>1</xdr:col>
                    <xdr:colOff>714375</xdr:colOff>
                    <xdr:row>26</xdr:row>
                    <xdr:rowOff>133350</xdr:rowOff>
                  </to>
                </anchor>
              </controlPr>
            </control>
          </mc:Choice>
        </mc:AlternateContent>
        <mc:AlternateContent xmlns:mc="http://schemas.openxmlformats.org/markup-compatibility/2006">
          <mc:Choice Requires="x14">
            <control shapeId="1044" r:id="rId13" name="Button 20">
              <controlPr defaultSize="0" print="0" autoFill="0" autoPict="0" macro="[0]!Feuil3.TestArrayList">
                <anchor moveWithCells="1">
                  <from>
                    <xdr:col>0</xdr:col>
                    <xdr:colOff>219075</xdr:colOff>
                    <xdr:row>1</xdr:row>
                    <xdr:rowOff>66675</xdr:rowOff>
                  </from>
                  <to>
                    <xdr:col>4</xdr:col>
                    <xdr:colOff>581025</xdr:colOff>
                    <xdr:row>2</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F4858-BBEF-4994-B5BE-B7C883BA4439}">
  <sheetPr codeName="Feuil2"/>
  <dimension ref="A1:Y130"/>
  <sheetViews>
    <sheetView workbookViewId="0">
      <selection activeCell="B19" sqref="B19"/>
    </sheetView>
  </sheetViews>
  <sheetFormatPr baseColWidth="10" defaultRowHeight="15" x14ac:dyDescent="0.25"/>
  <cols>
    <col min="1" max="1" width="8.85546875" bestFit="1" customWidth="1"/>
    <col min="2" max="10" width="8.5703125" bestFit="1" customWidth="1"/>
    <col min="11" max="36" width="8.7109375" bestFit="1" customWidth="1"/>
    <col min="37" max="38" width="8.85546875" bestFit="1" customWidth="1"/>
    <col min="39" max="39" width="8.7109375" bestFit="1" customWidth="1"/>
    <col min="40" max="44" width="8.85546875" bestFit="1" customWidth="1"/>
    <col min="45" max="45" width="8.7109375" bestFit="1" customWidth="1"/>
    <col min="46" max="47" width="8.85546875" bestFit="1" customWidth="1"/>
    <col min="48" max="48" width="8.7109375" bestFit="1" customWidth="1"/>
    <col min="49" max="50" width="8.85546875" bestFit="1" customWidth="1"/>
    <col min="51" max="52" width="8.7109375" bestFit="1" customWidth="1"/>
    <col min="53" max="55" width="8.85546875" bestFit="1" customWidth="1"/>
    <col min="56" max="57" width="8.7109375" bestFit="1" customWidth="1"/>
    <col min="58" max="58" width="8.85546875" bestFit="1" customWidth="1"/>
    <col min="59" max="59" width="8.7109375" bestFit="1" customWidth="1"/>
    <col min="60" max="64" width="8.85546875" bestFit="1" customWidth="1"/>
    <col min="65" max="65" width="8.7109375" bestFit="1" customWidth="1"/>
    <col min="66" max="68" width="8.85546875" bestFit="1" customWidth="1"/>
    <col min="69" max="69" width="8.7109375" bestFit="1" customWidth="1"/>
    <col min="70" max="74" width="8.85546875" bestFit="1" customWidth="1"/>
    <col min="75" max="76" width="8.7109375" bestFit="1" customWidth="1"/>
    <col min="77" max="78" width="8.85546875" bestFit="1" customWidth="1"/>
    <col min="79" max="80" width="8.7109375" bestFit="1" customWidth="1"/>
    <col min="81" max="81" width="8.85546875" bestFit="1" customWidth="1"/>
    <col min="82" max="82" width="8.7109375" bestFit="1" customWidth="1"/>
    <col min="83" max="88" width="8.85546875" bestFit="1" customWidth="1"/>
    <col min="89" max="89" width="8.7109375" bestFit="1" customWidth="1"/>
    <col min="90" max="91" width="8.85546875" bestFit="1" customWidth="1"/>
  </cols>
  <sheetData>
    <row r="1" spans="1:25" s="2" customFormat="1" x14ac:dyDescent="0.25">
      <c r="A1" s="2" t="s">
        <v>0</v>
      </c>
      <c r="B1" s="2" t="s">
        <v>1</v>
      </c>
      <c r="C1" s="2" t="s">
        <v>9</v>
      </c>
      <c r="D1" s="2" t="s">
        <v>42</v>
      </c>
      <c r="E1" s="2" t="s">
        <v>49</v>
      </c>
      <c r="F1" s="2" t="s">
        <v>72</v>
      </c>
      <c r="G1" s="2" t="s">
        <v>77</v>
      </c>
      <c r="H1" s="2" t="s">
        <v>116</v>
      </c>
      <c r="I1" s="2" t="s">
        <v>117</v>
      </c>
      <c r="J1" s="2" t="s">
        <v>118</v>
      </c>
      <c r="K1" s="2" t="s">
        <v>119</v>
      </c>
      <c r="L1" s="2" t="s">
        <v>120</v>
      </c>
      <c r="M1" s="2" t="s">
        <v>121</v>
      </c>
      <c r="N1" s="2" t="s">
        <v>122</v>
      </c>
      <c r="O1" s="2" t="s">
        <v>123</v>
      </c>
      <c r="P1" s="2" t="s">
        <v>124</v>
      </c>
      <c r="Q1" s="2" t="s">
        <v>125</v>
      </c>
      <c r="R1" s="2" t="s">
        <v>126</v>
      </c>
      <c r="S1" s="2" t="s">
        <v>127</v>
      </c>
      <c r="T1" s="2" t="s">
        <v>128</v>
      </c>
      <c r="U1" s="2" t="s">
        <v>129</v>
      </c>
      <c r="V1" s="2" t="s">
        <v>130</v>
      </c>
      <c r="W1" s="2" t="s">
        <v>246</v>
      </c>
      <c r="X1" s="2" t="s">
        <v>247</v>
      </c>
      <c r="Y1" s="2" t="s">
        <v>248</v>
      </c>
    </row>
    <row r="2" spans="1:25" x14ac:dyDescent="0.25">
      <c r="A2" t="s">
        <v>2</v>
      </c>
      <c r="B2" t="s">
        <v>272</v>
      </c>
      <c r="C2" t="s">
        <v>253</v>
      </c>
      <c r="D2" t="s">
        <v>264</v>
      </c>
      <c r="E2" t="s">
        <v>249</v>
      </c>
      <c r="F2" t="s">
        <v>254</v>
      </c>
      <c r="G2" t="s">
        <v>255</v>
      </c>
      <c r="H2" t="s">
        <v>267</v>
      </c>
      <c r="I2" t="s">
        <v>268</v>
      </c>
      <c r="J2" t="s">
        <v>257</v>
      </c>
      <c r="K2" t="s">
        <v>269</v>
      </c>
      <c r="L2" t="s">
        <v>261</v>
      </c>
      <c r="M2" t="s">
        <v>263</v>
      </c>
      <c r="N2" t="s">
        <v>270</v>
      </c>
      <c r="O2" t="s">
        <v>259</v>
      </c>
      <c r="P2" t="s">
        <v>256</v>
      </c>
      <c r="Q2" t="s">
        <v>251</v>
      </c>
      <c r="R2" t="s">
        <v>262</v>
      </c>
      <c r="S2" t="s">
        <v>258</v>
      </c>
      <c r="T2" t="s">
        <v>265</v>
      </c>
      <c r="U2" t="s">
        <v>271</v>
      </c>
      <c r="V2" t="s">
        <v>252</v>
      </c>
      <c r="W2" t="s">
        <v>250</v>
      </c>
      <c r="X2" t="s">
        <v>266</v>
      </c>
      <c r="Y2" t="s">
        <v>260</v>
      </c>
    </row>
    <row r="3" spans="1:25" x14ac:dyDescent="0.25">
      <c r="A3" t="s">
        <v>4</v>
      </c>
      <c r="B3" t="s">
        <v>254</v>
      </c>
      <c r="C3" t="s">
        <v>271</v>
      </c>
      <c r="D3" t="s">
        <v>256</v>
      </c>
      <c r="E3" t="s">
        <v>253</v>
      </c>
      <c r="F3" t="s">
        <v>267</v>
      </c>
      <c r="G3" t="s">
        <v>252</v>
      </c>
      <c r="H3" t="s">
        <v>263</v>
      </c>
      <c r="I3" t="s">
        <v>261</v>
      </c>
      <c r="J3" t="s">
        <v>250</v>
      </c>
      <c r="K3" t="s">
        <v>265</v>
      </c>
      <c r="L3" t="s">
        <v>270</v>
      </c>
      <c r="M3" t="s">
        <v>272</v>
      </c>
      <c r="N3" t="s">
        <v>255</v>
      </c>
      <c r="O3" t="s">
        <v>268</v>
      </c>
      <c r="P3" t="s">
        <v>260</v>
      </c>
      <c r="Q3" t="s">
        <v>259</v>
      </c>
      <c r="R3" t="s">
        <v>262</v>
      </c>
      <c r="S3" t="s">
        <v>269</v>
      </c>
      <c r="T3" t="s">
        <v>249</v>
      </c>
      <c r="U3" t="s">
        <v>257</v>
      </c>
      <c r="V3" t="s">
        <v>264</v>
      </c>
      <c r="W3" t="s">
        <v>258</v>
      </c>
      <c r="X3" t="s">
        <v>266</v>
      </c>
      <c r="Y3" t="s">
        <v>251</v>
      </c>
    </row>
    <row r="4" spans="1:25" x14ac:dyDescent="0.25">
      <c r="A4" t="s">
        <v>11</v>
      </c>
      <c r="B4" t="s">
        <v>259</v>
      </c>
      <c r="C4" t="s">
        <v>272</v>
      </c>
      <c r="D4" t="s">
        <v>270</v>
      </c>
      <c r="E4" t="s">
        <v>253</v>
      </c>
      <c r="F4" t="s">
        <v>266</v>
      </c>
      <c r="G4" t="s">
        <v>258</v>
      </c>
      <c r="H4" t="s">
        <v>265</v>
      </c>
      <c r="I4" t="s">
        <v>260</v>
      </c>
      <c r="J4" t="s">
        <v>252</v>
      </c>
      <c r="K4" t="s">
        <v>271</v>
      </c>
      <c r="L4" t="s">
        <v>257</v>
      </c>
      <c r="M4" t="s">
        <v>254</v>
      </c>
      <c r="N4" t="s">
        <v>264</v>
      </c>
      <c r="O4" t="s">
        <v>255</v>
      </c>
      <c r="P4" t="s">
        <v>251</v>
      </c>
      <c r="Q4" t="s">
        <v>267</v>
      </c>
      <c r="R4" t="s">
        <v>261</v>
      </c>
      <c r="S4" t="s">
        <v>263</v>
      </c>
      <c r="T4" t="s">
        <v>269</v>
      </c>
      <c r="U4" t="s">
        <v>249</v>
      </c>
      <c r="V4" t="s">
        <v>262</v>
      </c>
      <c r="W4" t="s">
        <v>268</v>
      </c>
      <c r="X4" t="s">
        <v>250</v>
      </c>
      <c r="Y4" t="s">
        <v>256</v>
      </c>
    </row>
    <row r="5" spans="1:25" x14ac:dyDescent="0.25">
      <c r="A5" t="s">
        <v>12</v>
      </c>
      <c r="B5" t="s">
        <v>253</v>
      </c>
      <c r="C5" t="s">
        <v>263</v>
      </c>
      <c r="D5" t="s">
        <v>259</v>
      </c>
      <c r="E5" t="s">
        <v>254</v>
      </c>
      <c r="F5" t="s">
        <v>250</v>
      </c>
      <c r="G5" t="s">
        <v>272</v>
      </c>
      <c r="H5" t="s">
        <v>262</v>
      </c>
      <c r="I5" t="s">
        <v>267</v>
      </c>
      <c r="J5" t="s">
        <v>256</v>
      </c>
      <c r="K5" t="s">
        <v>260</v>
      </c>
      <c r="L5" t="s">
        <v>271</v>
      </c>
      <c r="M5" t="s">
        <v>258</v>
      </c>
      <c r="N5" t="s">
        <v>268</v>
      </c>
      <c r="O5" t="s">
        <v>249</v>
      </c>
      <c r="P5" t="s">
        <v>264</v>
      </c>
      <c r="Q5" t="s">
        <v>265</v>
      </c>
      <c r="R5" t="s">
        <v>251</v>
      </c>
      <c r="S5" t="s">
        <v>266</v>
      </c>
      <c r="T5" t="s">
        <v>255</v>
      </c>
      <c r="U5" t="s">
        <v>257</v>
      </c>
      <c r="V5" t="s">
        <v>269</v>
      </c>
      <c r="W5" t="s">
        <v>261</v>
      </c>
      <c r="X5" t="s">
        <v>252</v>
      </c>
      <c r="Y5" t="s">
        <v>270</v>
      </c>
    </row>
    <row r="6" spans="1:25" x14ac:dyDescent="0.25">
      <c r="A6" t="s">
        <v>13</v>
      </c>
      <c r="B6" t="s">
        <v>260</v>
      </c>
      <c r="C6" t="s">
        <v>251</v>
      </c>
      <c r="D6" t="s">
        <v>255</v>
      </c>
      <c r="E6" t="s">
        <v>254</v>
      </c>
      <c r="F6" t="s">
        <v>272</v>
      </c>
      <c r="G6" t="s">
        <v>263</v>
      </c>
      <c r="H6" t="s">
        <v>249</v>
      </c>
      <c r="I6" t="s">
        <v>252</v>
      </c>
      <c r="J6" t="s">
        <v>266</v>
      </c>
      <c r="K6" t="s">
        <v>269</v>
      </c>
      <c r="L6" t="s">
        <v>253</v>
      </c>
      <c r="M6" t="s">
        <v>256</v>
      </c>
      <c r="N6" t="s">
        <v>264</v>
      </c>
      <c r="O6" t="s">
        <v>270</v>
      </c>
      <c r="P6" t="s">
        <v>267</v>
      </c>
      <c r="Q6" t="s">
        <v>262</v>
      </c>
      <c r="R6" t="s">
        <v>257</v>
      </c>
      <c r="S6" t="s">
        <v>259</v>
      </c>
      <c r="T6" t="s">
        <v>271</v>
      </c>
      <c r="U6" t="s">
        <v>265</v>
      </c>
      <c r="V6" t="s">
        <v>261</v>
      </c>
      <c r="W6" t="s">
        <v>250</v>
      </c>
      <c r="X6" t="s">
        <v>268</v>
      </c>
      <c r="Y6" t="s">
        <v>258</v>
      </c>
    </row>
    <row r="7" spans="1:25" x14ac:dyDescent="0.25">
      <c r="A7" t="s">
        <v>14</v>
      </c>
      <c r="B7" t="s">
        <v>271</v>
      </c>
      <c r="C7" t="s">
        <v>266</v>
      </c>
      <c r="D7" t="s">
        <v>268</v>
      </c>
      <c r="E7" t="s">
        <v>264</v>
      </c>
      <c r="F7" t="s">
        <v>252</v>
      </c>
      <c r="G7" t="s">
        <v>270</v>
      </c>
      <c r="H7" t="s">
        <v>250</v>
      </c>
      <c r="I7" t="s">
        <v>258</v>
      </c>
      <c r="J7" t="s">
        <v>253</v>
      </c>
      <c r="K7" t="s">
        <v>272</v>
      </c>
      <c r="L7" t="s">
        <v>259</v>
      </c>
      <c r="M7" t="s">
        <v>257</v>
      </c>
      <c r="N7" t="s">
        <v>261</v>
      </c>
      <c r="O7" t="s">
        <v>269</v>
      </c>
      <c r="P7" t="s">
        <v>254</v>
      </c>
      <c r="Q7" t="s">
        <v>256</v>
      </c>
      <c r="R7" t="s">
        <v>255</v>
      </c>
      <c r="S7" t="s">
        <v>251</v>
      </c>
      <c r="T7" t="s">
        <v>249</v>
      </c>
      <c r="U7" t="s">
        <v>263</v>
      </c>
      <c r="V7" t="s">
        <v>262</v>
      </c>
      <c r="W7" t="s">
        <v>260</v>
      </c>
      <c r="X7" t="s">
        <v>267</v>
      </c>
      <c r="Y7" t="s">
        <v>265</v>
      </c>
    </row>
    <row r="8" spans="1:25" x14ac:dyDescent="0.25">
      <c r="A8" t="s">
        <v>15</v>
      </c>
      <c r="B8" t="s">
        <v>264</v>
      </c>
      <c r="C8" t="s">
        <v>271</v>
      </c>
      <c r="D8" t="s">
        <v>257</v>
      </c>
      <c r="E8" t="s">
        <v>249</v>
      </c>
      <c r="F8" t="s">
        <v>255</v>
      </c>
      <c r="G8" t="s">
        <v>266</v>
      </c>
      <c r="H8" t="s">
        <v>259</v>
      </c>
      <c r="I8" t="s">
        <v>269</v>
      </c>
      <c r="J8" t="s">
        <v>267</v>
      </c>
      <c r="K8" t="s">
        <v>258</v>
      </c>
      <c r="L8" t="s">
        <v>272</v>
      </c>
      <c r="M8" t="s">
        <v>263</v>
      </c>
      <c r="N8" t="s">
        <v>254</v>
      </c>
      <c r="O8" t="s">
        <v>270</v>
      </c>
      <c r="P8" t="s">
        <v>268</v>
      </c>
      <c r="Q8" t="s">
        <v>265</v>
      </c>
      <c r="R8" t="s">
        <v>260</v>
      </c>
      <c r="S8" t="s">
        <v>250</v>
      </c>
      <c r="T8" t="s">
        <v>256</v>
      </c>
      <c r="U8" t="s">
        <v>253</v>
      </c>
      <c r="V8" t="s">
        <v>252</v>
      </c>
      <c r="W8" t="s">
        <v>251</v>
      </c>
      <c r="X8" t="s">
        <v>261</v>
      </c>
      <c r="Y8" t="s">
        <v>262</v>
      </c>
    </row>
    <row r="9" spans="1:25" x14ac:dyDescent="0.25">
      <c r="A9" t="s">
        <v>16</v>
      </c>
      <c r="B9" t="s">
        <v>249</v>
      </c>
      <c r="C9" t="s">
        <v>272</v>
      </c>
      <c r="D9" t="s">
        <v>264</v>
      </c>
      <c r="E9" t="s">
        <v>252</v>
      </c>
      <c r="F9" t="s">
        <v>269</v>
      </c>
      <c r="G9" t="s">
        <v>268</v>
      </c>
      <c r="H9" t="s">
        <v>263</v>
      </c>
      <c r="I9" t="s">
        <v>267</v>
      </c>
      <c r="J9" t="s">
        <v>251</v>
      </c>
      <c r="K9" t="s">
        <v>250</v>
      </c>
      <c r="L9" t="s">
        <v>259</v>
      </c>
      <c r="M9" t="s">
        <v>271</v>
      </c>
      <c r="N9" t="s">
        <v>256</v>
      </c>
      <c r="O9" t="s">
        <v>260</v>
      </c>
      <c r="P9" t="s">
        <v>258</v>
      </c>
      <c r="Q9" t="s">
        <v>266</v>
      </c>
      <c r="R9" t="s">
        <v>262</v>
      </c>
      <c r="S9" t="s">
        <v>270</v>
      </c>
      <c r="T9" t="s">
        <v>265</v>
      </c>
      <c r="U9" t="s">
        <v>257</v>
      </c>
      <c r="V9" t="s">
        <v>255</v>
      </c>
      <c r="W9" t="s">
        <v>253</v>
      </c>
      <c r="X9" t="s">
        <v>254</v>
      </c>
      <c r="Y9" t="s">
        <v>261</v>
      </c>
    </row>
    <row r="10" spans="1:25" x14ac:dyDescent="0.25">
      <c r="A10" t="s">
        <v>17</v>
      </c>
      <c r="B10" t="s">
        <v>251</v>
      </c>
      <c r="C10" t="s">
        <v>252</v>
      </c>
      <c r="D10" t="s">
        <v>272</v>
      </c>
      <c r="E10" t="s">
        <v>258</v>
      </c>
      <c r="F10" t="s">
        <v>257</v>
      </c>
      <c r="G10" t="s">
        <v>264</v>
      </c>
      <c r="H10" t="s">
        <v>262</v>
      </c>
      <c r="I10" t="s">
        <v>250</v>
      </c>
      <c r="J10" t="s">
        <v>261</v>
      </c>
      <c r="K10" t="s">
        <v>255</v>
      </c>
      <c r="L10" t="s">
        <v>254</v>
      </c>
      <c r="M10" t="s">
        <v>263</v>
      </c>
      <c r="N10" t="s">
        <v>269</v>
      </c>
      <c r="O10" t="s">
        <v>256</v>
      </c>
      <c r="P10" t="s">
        <v>260</v>
      </c>
      <c r="Q10" t="s">
        <v>266</v>
      </c>
      <c r="R10" t="s">
        <v>268</v>
      </c>
      <c r="S10" t="s">
        <v>270</v>
      </c>
      <c r="T10" t="s">
        <v>259</v>
      </c>
      <c r="U10" t="s">
        <v>253</v>
      </c>
      <c r="V10" t="s">
        <v>271</v>
      </c>
      <c r="W10" t="s">
        <v>267</v>
      </c>
      <c r="X10" t="s">
        <v>265</v>
      </c>
      <c r="Y10" t="s">
        <v>249</v>
      </c>
    </row>
    <row r="11" spans="1:25" x14ac:dyDescent="0.25">
      <c r="A11" t="s">
        <v>18</v>
      </c>
      <c r="B11" t="s">
        <v>262</v>
      </c>
      <c r="C11" t="s">
        <v>272</v>
      </c>
      <c r="D11" t="s">
        <v>258</v>
      </c>
      <c r="E11" t="s">
        <v>249</v>
      </c>
      <c r="F11" t="s">
        <v>255</v>
      </c>
      <c r="G11" t="s">
        <v>253</v>
      </c>
      <c r="H11" t="s">
        <v>252</v>
      </c>
      <c r="I11" t="s">
        <v>257</v>
      </c>
      <c r="J11" t="s">
        <v>267</v>
      </c>
      <c r="K11" t="s">
        <v>261</v>
      </c>
      <c r="L11" t="s">
        <v>256</v>
      </c>
      <c r="M11" t="s">
        <v>269</v>
      </c>
      <c r="N11" t="s">
        <v>260</v>
      </c>
      <c r="O11" t="s">
        <v>271</v>
      </c>
      <c r="P11" t="s">
        <v>265</v>
      </c>
      <c r="Q11" t="s">
        <v>259</v>
      </c>
      <c r="R11" t="s">
        <v>251</v>
      </c>
      <c r="S11" t="s">
        <v>263</v>
      </c>
      <c r="T11" t="s">
        <v>266</v>
      </c>
      <c r="U11" t="s">
        <v>268</v>
      </c>
      <c r="V11" t="s">
        <v>250</v>
      </c>
      <c r="W11" t="s">
        <v>254</v>
      </c>
      <c r="X11" t="s">
        <v>270</v>
      </c>
      <c r="Y11" t="s">
        <v>264</v>
      </c>
    </row>
    <row r="12" spans="1:25" x14ac:dyDescent="0.25">
      <c r="A12" t="s">
        <v>51</v>
      </c>
      <c r="B12" t="s">
        <v>261</v>
      </c>
      <c r="C12" t="s">
        <v>253</v>
      </c>
      <c r="D12" t="s">
        <v>259</v>
      </c>
      <c r="E12" t="s">
        <v>254</v>
      </c>
      <c r="F12" t="s">
        <v>262</v>
      </c>
      <c r="G12" t="s">
        <v>272</v>
      </c>
      <c r="H12" t="s">
        <v>250</v>
      </c>
      <c r="I12" t="s">
        <v>267</v>
      </c>
      <c r="J12" t="s">
        <v>271</v>
      </c>
      <c r="K12" t="s">
        <v>260</v>
      </c>
      <c r="L12" t="s">
        <v>258</v>
      </c>
      <c r="M12" t="s">
        <v>264</v>
      </c>
      <c r="N12" t="s">
        <v>256</v>
      </c>
      <c r="O12" t="s">
        <v>255</v>
      </c>
      <c r="P12" t="s">
        <v>249</v>
      </c>
      <c r="Q12" t="s">
        <v>257</v>
      </c>
      <c r="R12" t="s">
        <v>263</v>
      </c>
      <c r="S12" t="s">
        <v>268</v>
      </c>
      <c r="T12" t="s">
        <v>270</v>
      </c>
      <c r="U12" t="s">
        <v>266</v>
      </c>
      <c r="V12" t="s">
        <v>265</v>
      </c>
      <c r="W12" t="s">
        <v>269</v>
      </c>
      <c r="X12" t="s">
        <v>252</v>
      </c>
      <c r="Y12" t="s">
        <v>251</v>
      </c>
    </row>
    <row r="13" spans="1:25" x14ac:dyDescent="0.25">
      <c r="A13" t="s">
        <v>52</v>
      </c>
      <c r="B13" t="s">
        <v>259</v>
      </c>
      <c r="C13" t="s">
        <v>271</v>
      </c>
      <c r="D13" t="s">
        <v>257</v>
      </c>
      <c r="E13" t="s">
        <v>250</v>
      </c>
      <c r="F13" t="s">
        <v>268</v>
      </c>
      <c r="G13" t="s">
        <v>258</v>
      </c>
      <c r="H13" t="s">
        <v>254</v>
      </c>
      <c r="I13" t="s">
        <v>251</v>
      </c>
      <c r="J13" t="s">
        <v>260</v>
      </c>
      <c r="K13" t="s">
        <v>266</v>
      </c>
      <c r="L13" t="s">
        <v>267</v>
      </c>
      <c r="M13" t="s">
        <v>263</v>
      </c>
      <c r="N13" t="s">
        <v>270</v>
      </c>
      <c r="O13" t="s">
        <v>255</v>
      </c>
      <c r="P13" t="s">
        <v>249</v>
      </c>
      <c r="Q13" t="s">
        <v>261</v>
      </c>
      <c r="R13" t="s">
        <v>264</v>
      </c>
      <c r="S13" t="s">
        <v>272</v>
      </c>
      <c r="T13" t="s">
        <v>252</v>
      </c>
      <c r="U13" t="s">
        <v>265</v>
      </c>
      <c r="V13" t="s">
        <v>262</v>
      </c>
      <c r="W13" t="s">
        <v>253</v>
      </c>
      <c r="X13" t="s">
        <v>269</v>
      </c>
      <c r="Y13" t="s">
        <v>256</v>
      </c>
    </row>
    <row r="14" spans="1:25" x14ac:dyDescent="0.25">
      <c r="A14" t="s">
        <v>53</v>
      </c>
      <c r="B14" t="s">
        <v>249</v>
      </c>
      <c r="C14" t="s">
        <v>269</v>
      </c>
      <c r="D14" t="s">
        <v>254</v>
      </c>
      <c r="E14" t="s">
        <v>259</v>
      </c>
      <c r="F14" t="s">
        <v>251</v>
      </c>
      <c r="G14" t="s">
        <v>264</v>
      </c>
      <c r="H14" t="s">
        <v>258</v>
      </c>
      <c r="I14" t="s">
        <v>266</v>
      </c>
      <c r="J14" t="s">
        <v>262</v>
      </c>
      <c r="K14" t="s">
        <v>270</v>
      </c>
      <c r="L14" t="s">
        <v>253</v>
      </c>
      <c r="M14" t="s">
        <v>268</v>
      </c>
      <c r="N14" t="s">
        <v>256</v>
      </c>
      <c r="O14" t="s">
        <v>252</v>
      </c>
      <c r="P14" t="s">
        <v>267</v>
      </c>
      <c r="Q14" t="s">
        <v>261</v>
      </c>
      <c r="R14" t="s">
        <v>250</v>
      </c>
      <c r="S14" t="s">
        <v>257</v>
      </c>
      <c r="T14" t="s">
        <v>260</v>
      </c>
      <c r="U14" t="s">
        <v>272</v>
      </c>
      <c r="V14" t="s">
        <v>255</v>
      </c>
      <c r="W14" t="s">
        <v>271</v>
      </c>
      <c r="X14" t="s">
        <v>263</v>
      </c>
      <c r="Y14" t="s">
        <v>265</v>
      </c>
    </row>
    <row r="15" spans="1:25" x14ac:dyDescent="0.25">
      <c r="A15" t="s">
        <v>54</v>
      </c>
      <c r="B15" t="s">
        <v>257</v>
      </c>
      <c r="C15" t="s">
        <v>262</v>
      </c>
      <c r="D15" t="s">
        <v>256</v>
      </c>
      <c r="E15" t="s">
        <v>270</v>
      </c>
      <c r="F15" t="s">
        <v>250</v>
      </c>
      <c r="G15" t="s">
        <v>251</v>
      </c>
      <c r="H15" t="s">
        <v>258</v>
      </c>
      <c r="I15" t="s">
        <v>268</v>
      </c>
      <c r="J15" t="s">
        <v>253</v>
      </c>
      <c r="K15" t="s">
        <v>265</v>
      </c>
      <c r="L15" t="s">
        <v>263</v>
      </c>
      <c r="M15" t="s">
        <v>249</v>
      </c>
      <c r="N15" t="s">
        <v>271</v>
      </c>
      <c r="O15" t="s">
        <v>272</v>
      </c>
      <c r="P15" t="s">
        <v>261</v>
      </c>
      <c r="Q15" t="s">
        <v>260</v>
      </c>
      <c r="R15" t="s">
        <v>264</v>
      </c>
      <c r="S15" t="s">
        <v>267</v>
      </c>
      <c r="T15" t="s">
        <v>259</v>
      </c>
      <c r="U15" t="s">
        <v>252</v>
      </c>
      <c r="V15" t="s">
        <v>254</v>
      </c>
      <c r="W15" t="s">
        <v>266</v>
      </c>
      <c r="X15" t="s">
        <v>269</v>
      </c>
      <c r="Y15" t="s">
        <v>255</v>
      </c>
    </row>
    <row r="16" spans="1:25" x14ac:dyDescent="0.25">
      <c r="A16" t="s">
        <v>55</v>
      </c>
      <c r="B16" t="s">
        <v>253</v>
      </c>
      <c r="C16" t="s">
        <v>264</v>
      </c>
      <c r="D16" t="s">
        <v>249</v>
      </c>
      <c r="E16" t="s">
        <v>250</v>
      </c>
      <c r="F16" t="s">
        <v>263</v>
      </c>
      <c r="G16" t="s">
        <v>260</v>
      </c>
      <c r="H16" t="s">
        <v>258</v>
      </c>
      <c r="I16" t="s">
        <v>256</v>
      </c>
      <c r="J16" t="s">
        <v>255</v>
      </c>
      <c r="K16" t="s">
        <v>254</v>
      </c>
      <c r="L16" t="s">
        <v>267</v>
      </c>
      <c r="M16" t="s">
        <v>251</v>
      </c>
      <c r="N16" t="s">
        <v>272</v>
      </c>
      <c r="O16" t="s">
        <v>252</v>
      </c>
      <c r="P16" t="s">
        <v>265</v>
      </c>
      <c r="Q16" t="s">
        <v>261</v>
      </c>
      <c r="R16" t="s">
        <v>268</v>
      </c>
      <c r="S16" t="s">
        <v>269</v>
      </c>
      <c r="T16" t="s">
        <v>271</v>
      </c>
      <c r="U16" t="s">
        <v>266</v>
      </c>
      <c r="V16" t="s">
        <v>270</v>
      </c>
      <c r="W16" t="s">
        <v>259</v>
      </c>
      <c r="X16" t="s">
        <v>257</v>
      </c>
      <c r="Y16" t="s">
        <v>262</v>
      </c>
    </row>
    <row r="17" spans="1:25" x14ac:dyDescent="0.25">
      <c r="A17" t="s">
        <v>56</v>
      </c>
      <c r="B17" t="s">
        <v>250</v>
      </c>
      <c r="C17" t="s">
        <v>255</v>
      </c>
      <c r="D17" t="s">
        <v>254</v>
      </c>
      <c r="E17" t="s">
        <v>268</v>
      </c>
      <c r="F17" t="s">
        <v>260</v>
      </c>
      <c r="G17" t="s">
        <v>259</v>
      </c>
      <c r="H17" t="s">
        <v>270</v>
      </c>
      <c r="I17" t="s">
        <v>271</v>
      </c>
      <c r="J17" t="s">
        <v>253</v>
      </c>
      <c r="K17" t="s">
        <v>252</v>
      </c>
      <c r="L17" t="s">
        <v>267</v>
      </c>
      <c r="M17" t="s">
        <v>263</v>
      </c>
      <c r="N17" t="s">
        <v>265</v>
      </c>
      <c r="O17" t="s">
        <v>256</v>
      </c>
      <c r="P17" t="s">
        <v>264</v>
      </c>
      <c r="Q17" t="s">
        <v>262</v>
      </c>
      <c r="R17" t="s">
        <v>269</v>
      </c>
      <c r="S17" t="s">
        <v>272</v>
      </c>
      <c r="T17" t="s">
        <v>249</v>
      </c>
      <c r="U17" t="s">
        <v>266</v>
      </c>
      <c r="V17" t="s">
        <v>251</v>
      </c>
      <c r="W17" t="s">
        <v>257</v>
      </c>
      <c r="X17" t="s">
        <v>261</v>
      </c>
      <c r="Y17" t="s">
        <v>258</v>
      </c>
    </row>
    <row r="18" spans="1:25" x14ac:dyDescent="0.25">
      <c r="A18" t="s">
        <v>57</v>
      </c>
      <c r="B18" t="s">
        <v>258</v>
      </c>
      <c r="C18" t="s">
        <v>271</v>
      </c>
      <c r="D18" t="s">
        <v>251</v>
      </c>
      <c r="E18" t="s">
        <v>261</v>
      </c>
      <c r="F18" t="s">
        <v>266</v>
      </c>
      <c r="G18" t="s">
        <v>253</v>
      </c>
      <c r="H18" t="s">
        <v>269</v>
      </c>
      <c r="I18" t="s">
        <v>267</v>
      </c>
      <c r="J18" t="s">
        <v>262</v>
      </c>
      <c r="K18" t="s">
        <v>249</v>
      </c>
      <c r="L18" t="s">
        <v>270</v>
      </c>
      <c r="M18" t="s">
        <v>252</v>
      </c>
      <c r="N18" t="s">
        <v>256</v>
      </c>
      <c r="O18" t="s">
        <v>257</v>
      </c>
      <c r="P18" t="s">
        <v>259</v>
      </c>
      <c r="Q18" t="s">
        <v>250</v>
      </c>
      <c r="R18" t="s">
        <v>263</v>
      </c>
      <c r="S18" t="s">
        <v>268</v>
      </c>
      <c r="T18" t="s">
        <v>254</v>
      </c>
      <c r="U18" t="s">
        <v>265</v>
      </c>
      <c r="V18" t="s">
        <v>255</v>
      </c>
      <c r="W18" t="s">
        <v>272</v>
      </c>
      <c r="X18" t="s">
        <v>264</v>
      </c>
      <c r="Y18" t="s">
        <v>260</v>
      </c>
    </row>
    <row r="19" spans="1:25" x14ac:dyDescent="0.25">
      <c r="A19" t="s">
        <v>58</v>
      </c>
      <c r="B19" t="s">
        <v>254</v>
      </c>
      <c r="C19" t="s">
        <v>252</v>
      </c>
      <c r="D19" t="s">
        <v>262</v>
      </c>
      <c r="E19" t="s">
        <v>251</v>
      </c>
      <c r="F19" t="s">
        <v>269</v>
      </c>
      <c r="G19" t="s">
        <v>268</v>
      </c>
      <c r="H19" t="s">
        <v>260</v>
      </c>
      <c r="I19" t="s">
        <v>272</v>
      </c>
      <c r="J19" t="s">
        <v>255</v>
      </c>
      <c r="K19" t="s">
        <v>265</v>
      </c>
      <c r="L19" t="s">
        <v>261</v>
      </c>
      <c r="M19" t="s">
        <v>249</v>
      </c>
      <c r="N19" t="s">
        <v>267</v>
      </c>
      <c r="O19" t="s">
        <v>259</v>
      </c>
      <c r="P19" t="s">
        <v>263</v>
      </c>
      <c r="Q19" t="s">
        <v>258</v>
      </c>
      <c r="R19" t="s">
        <v>271</v>
      </c>
      <c r="S19" t="s">
        <v>257</v>
      </c>
      <c r="T19" t="s">
        <v>264</v>
      </c>
      <c r="U19" t="s">
        <v>266</v>
      </c>
      <c r="V19" t="s">
        <v>253</v>
      </c>
      <c r="W19" t="s">
        <v>256</v>
      </c>
      <c r="X19" t="s">
        <v>250</v>
      </c>
      <c r="Y19" t="s">
        <v>270</v>
      </c>
    </row>
    <row r="20" spans="1:25" x14ac:dyDescent="0.25">
      <c r="A20" t="s">
        <v>59</v>
      </c>
      <c r="B20" t="s">
        <v>266</v>
      </c>
      <c r="C20" t="s">
        <v>251</v>
      </c>
      <c r="D20" t="s">
        <v>267</v>
      </c>
      <c r="E20" t="s">
        <v>261</v>
      </c>
      <c r="F20" t="s">
        <v>265</v>
      </c>
      <c r="G20" t="s">
        <v>258</v>
      </c>
      <c r="H20" t="s">
        <v>255</v>
      </c>
      <c r="I20" t="s">
        <v>268</v>
      </c>
      <c r="J20" t="s">
        <v>259</v>
      </c>
      <c r="K20" t="s">
        <v>250</v>
      </c>
      <c r="L20" t="s">
        <v>252</v>
      </c>
      <c r="M20" t="s">
        <v>271</v>
      </c>
      <c r="N20" t="s">
        <v>254</v>
      </c>
      <c r="O20" t="s">
        <v>264</v>
      </c>
      <c r="P20" t="s">
        <v>253</v>
      </c>
      <c r="Q20" t="s">
        <v>257</v>
      </c>
      <c r="R20" t="s">
        <v>260</v>
      </c>
      <c r="S20" t="s">
        <v>256</v>
      </c>
      <c r="T20" t="s">
        <v>269</v>
      </c>
      <c r="U20" t="s">
        <v>249</v>
      </c>
      <c r="V20" t="s">
        <v>262</v>
      </c>
      <c r="W20" t="s">
        <v>270</v>
      </c>
      <c r="X20" t="s">
        <v>272</v>
      </c>
      <c r="Y20" t="s">
        <v>263</v>
      </c>
    </row>
    <row r="21" spans="1:25" x14ac:dyDescent="0.25">
      <c r="A21" t="s">
        <v>60</v>
      </c>
      <c r="B21" t="s">
        <v>268</v>
      </c>
      <c r="C21" t="s">
        <v>265</v>
      </c>
      <c r="D21" t="s">
        <v>260</v>
      </c>
      <c r="E21" t="s">
        <v>256</v>
      </c>
      <c r="F21" t="s">
        <v>251</v>
      </c>
      <c r="G21" t="s">
        <v>264</v>
      </c>
      <c r="H21" t="s">
        <v>266</v>
      </c>
      <c r="I21" t="s">
        <v>258</v>
      </c>
      <c r="J21" t="s">
        <v>269</v>
      </c>
      <c r="K21" t="s">
        <v>252</v>
      </c>
      <c r="L21" t="s">
        <v>253</v>
      </c>
      <c r="M21" t="s">
        <v>255</v>
      </c>
      <c r="N21" t="s">
        <v>250</v>
      </c>
      <c r="O21" t="s">
        <v>254</v>
      </c>
      <c r="P21" t="s">
        <v>249</v>
      </c>
      <c r="Q21" t="s">
        <v>262</v>
      </c>
      <c r="R21" t="s">
        <v>270</v>
      </c>
      <c r="S21" t="s">
        <v>267</v>
      </c>
      <c r="T21" t="s">
        <v>263</v>
      </c>
      <c r="U21" t="s">
        <v>272</v>
      </c>
      <c r="V21" t="s">
        <v>261</v>
      </c>
      <c r="W21" t="s">
        <v>271</v>
      </c>
      <c r="X21" t="s">
        <v>257</v>
      </c>
      <c r="Y21" t="s">
        <v>259</v>
      </c>
    </row>
    <row r="22" spans="1:25" x14ac:dyDescent="0.25">
      <c r="A22" t="s">
        <v>61</v>
      </c>
      <c r="B22" t="s">
        <v>257</v>
      </c>
      <c r="C22" t="s">
        <v>260</v>
      </c>
      <c r="D22" t="s">
        <v>267</v>
      </c>
      <c r="E22" t="s">
        <v>269</v>
      </c>
      <c r="F22" t="s">
        <v>272</v>
      </c>
      <c r="G22" t="s">
        <v>253</v>
      </c>
      <c r="H22" t="s">
        <v>255</v>
      </c>
      <c r="I22" t="s">
        <v>265</v>
      </c>
      <c r="J22" t="s">
        <v>251</v>
      </c>
      <c r="K22" t="s">
        <v>256</v>
      </c>
      <c r="L22" t="s">
        <v>254</v>
      </c>
      <c r="M22" t="s">
        <v>263</v>
      </c>
      <c r="N22" t="s">
        <v>270</v>
      </c>
      <c r="O22" t="s">
        <v>261</v>
      </c>
      <c r="P22" t="s">
        <v>268</v>
      </c>
      <c r="Q22" t="s">
        <v>266</v>
      </c>
      <c r="R22" t="s">
        <v>249</v>
      </c>
      <c r="S22" t="s">
        <v>252</v>
      </c>
      <c r="T22" t="s">
        <v>264</v>
      </c>
      <c r="U22" t="s">
        <v>259</v>
      </c>
      <c r="V22" t="s">
        <v>258</v>
      </c>
      <c r="W22" t="s">
        <v>250</v>
      </c>
      <c r="X22" t="s">
        <v>271</v>
      </c>
      <c r="Y22" t="s">
        <v>262</v>
      </c>
    </row>
    <row r="23" spans="1:25" x14ac:dyDescent="0.25">
      <c r="A23" t="s">
        <v>62</v>
      </c>
      <c r="B23" t="s">
        <v>270</v>
      </c>
      <c r="C23" t="s">
        <v>249</v>
      </c>
      <c r="D23" t="s">
        <v>265</v>
      </c>
      <c r="E23" t="s">
        <v>266</v>
      </c>
      <c r="F23" t="s">
        <v>250</v>
      </c>
      <c r="G23" t="s">
        <v>253</v>
      </c>
      <c r="H23" t="s">
        <v>254</v>
      </c>
      <c r="I23" t="s">
        <v>267</v>
      </c>
      <c r="J23" t="s">
        <v>263</v>
      </c>
      <c r="K23" t="s">
        <v>264</v>
      </c>
      <c r="L23" t="s">
        <v>271</v>
      </c>
      <c r="M23" t="s">
        <v>251</v>
      </c>
      <c r="N23" t="s">
        <v>259</v>
      </c>
      <c r="O23" t="s">
        <v>252</v>
      </c>
      <c r="P23" t="s">
        <v>269</v>
      </c>
      <c r="Q23" t="s">
        <v>255</v>
      </c>
      <c r="R23" t="s">
        <v>256</v>
      </c>
      <c r="S23" t="s">
        <v>258</v>
      </c>
      <c r="T23" t="s">
        <v>262</v>
      </c>
      <c r="U23" t="s">
        <v>257</v>
      </c>
      <c r="V23" t="s">
        <v>268</v>
      </c>
      <c r="W23" t="s">
        <v>260</v>
      </c>
      <c r="X23" t="s">
        <v>261</v>
      </c>
      <c r="Y23" t="s">
        <v>272</v>
      </c>
    </row>
    <row r="24" spans="1:25" x14ac:dyDescent="0.25">
      <c r="A24" t="s">
        <v>63</v>
      </c>
      <c r="B24" t="s">
        <v>271</v>
      </c>
      <c r="C24" t="s">
        <v>255</v>
      </c>
      <c r="D24" t="s">
        <v>252</v>
      </c>
      <c r="E24" t="s">
        <v>272</v>
      </c>
      <c r="F24" t="s">
        <v>254</v>
      </c>
      <c r="G24" t="s">
        <v>256</v>
      </c>
      <c r="H24" t="s">
        <v>259</v>
      </c>
      <c r="I24" t="s">
        <v>260</v>
      </c>
      <c r="J24" t="s">
        <v>253</v>
      </c>
      <c r="K24" t="s">
        <v>266</v>
      </c>
      <c r="L24" t="s">
        <v>265</v>
      </c>
      <c r="M24" t="s">
        <v>269</v>
      </c>
      <c r="N24" t="s">
        <v>263</v>
      </c>
      <c r="O24" t="s">
        <v>267</v>
      </c>
      <c r="P24" t="s">
        <v>264</v>
      </c>
      <c r="Q24" t="s">
        <v>249</v>
      </c>
      <c r="R24" t="s">
        <v>251</v>
      </c>
      <c r="S24" t="s">
        <v>258</v>
      </c>
      <c r="T24" t="s">
        <v>250</v>
      </c>
      <c r="U24" t="s">
        <v>262</v>
      </c>
      <c r="V24" t="s">
        <v>257</v>
      </c>
      <c r="W24" t="s">
        <v>261</v>
      </c>
      <c r="X24" t="s">
        <v>268</v>
      </c>
      <c r="Y24" t="s">
        <v>270</v>
      </c>
    </row>
    <row r="25" spans="1:25" x14ac:dyDescent="0.25">
      <c r="A25" t="s">
        <v>64</v>
      </c>
      <c r="B25" t="s">
        <v>253</v>
      </c>
      <c r="C25" t="s">
        <v>252</v>
      </c>
      <c r="D25" t="s">
        <v>264</v>
      </c>
      <c r="E25" t="s">
        <v>250</v>
      </c>
      <c r="F25" t="s">
        <v>268</v>
      </c>
      <c r="G25" t="s">
        <v>269</v>
      </c>
      <c r="H25" t="s">
        <v>272</v>
      </c>
      <c r="I25" t="s">
        <v>260</v>
      </c>
      <c r="J25" t="s">
        <v>251</v>
      </c>
      <c r="K25" t="s">
        <v>270</v>
      </c>
      <c r="L25" t="s">
        <v>267</v>
      </c>
      <c r="M25" t="s">
        <v>249</v>
      </c>
      <c r="N25" t="s">
        <v>261</v>
      </c>
      <c r="O25" t="s">
        <v>254</v>
      </c>
      <c r="P25" t="s">
        <v>255</v>
      </c>
      <c r="Q25" t="s">
        <v>258</v>
      </c>
      <c r="R25" t="s">
        <v>266</v>
      </c>
      <c r="S25" t="s">
        <v>263</v>
      </c>
      <c r="T25" t="s">
        <v>256</v>
      </c>
      <c r="U25" t="s">
        <v>271</v>
      </c>
      <c r="V25" t="s">
        <v>257</v>
      </c>
      <c r="W25" t="s">
        <v>265</v>
      </c>
      <c r="X25" t="s">
        <v>259</v>
      </c>
      <c r="Y25" t="s">
        <v>262</v>
      </c>
    </row>
    <row r="26" spans="1:25" x14ac:dyDescent="0.25">
      <c r="A26" t="s">
        <v>65</v>
      </c>
      <c r="B26" t="s">
        <v>257</v>
      </c>
      <c r="C26" t="s">
        <v>269</v>
      </c>
      <c r="D26" t="s">
        <v>272</v>
      </c>
      <c r="E26" t="s">
        <v>262</v>
      </c>
      <c r="F26" t="s">
        <v>267</v>
      </c>
      <c r="G26" t="s">
        <v>249</v>
      </c>
      <c r="H26" t="s">
        <v>261</v>
      </c>
      <c r="I26" t="s">
        <v>265</v>
      </c>
      <c r="J26" t="s">
        <v>253</v>
      </c>
      <c r="K26" t="s">
        <v>268</v>
      </c>
      <c r="L26" t="s">
        <v>271</v>
      </c>
      <c r="M26" t="s">
        <v>260</v>
      </c>
      <c r="N26" t="s">
        <v>263</v>
      </c>
      <c r="O26" t="s">
        <v>255</v>
      </c>
      <c r="P26" t="s">
        <v>258</v>
      </c>
      <c r="Q26" t="s">
        <v>252</v>
      </c>
      <c r="R26" t="s">
        <v>251</v>
      </c>
      <c r="S26" t="s">
        <v>250</v>
      </c>
      <c r="T26" t="s">
        <v>254</v>
      </c>
      <c r="U26" t="s">
        <v>270</v>
      </c>
      <c r="V26" t="s">
        <v>266</v>
      </c>
      <c r="W26" t="s">
        <v>259</v>
      </c>
      <c r="X26" t="s">
        <v>256</v>
      </c>
      <c r="Y26" t="s">
        <v>264</v>
      </c>
    </row>
    <row r="27" spans="1:25" x14ac:dyDescent="0.25">
      <c r="A27" t="s">
        <v>66</v>
      </c>
      <c r="B27" t="s">
        <v>252</v>
      </c>
      <c r="C27" t="s">
        <v>253</v>
      </c>
      <c r="D27" t="s">
        <v>256</v>
      </c>
      <c r="E27" t="s">
        <v>260</v>
      </c>
      <c r="F27" t="s">
        <v>249</v>
      </c>
      <c r="G27" t="s">
        <v>254</v>
      </c>
      <c r="H27" t="s">
        <v>261</v>
      </c>
      <c r="I27" t="s">
        <v>265</v>
      </c>
      <c r="J27" t="s">
        <v>272</v>
      </c>
      <c r="K27" t="s">
        <v>267</v>
      </c>
      <c r="L27" t="s">
        <v>259</v>
      </c>
      <c r="M27" t="s">
        <v>251</v>
      </c>
      <c r="N27" t="s">
        <v>250</v>
      </c>
      <c r="O27" t="s">
        <v>269</v>
      </c>
      <c r="P27" t="s">
        <v>255</v>
      </c>
      <c r="Q27" t="s">
        <v>271</v>
      </c>
      <c r="R27" t="s">
        <v>262</v>
      </c>
      <c r="S27" t="s">
        <v>263</v>
      </c>
      <c r="T27" t="s">
        <v>257</v>
      </c>
      <c r="U27" t="s">
        <v>264</v>
      </c>
      <c r="V27" t="s">
        <v>258</v>
      </c>
      <c r="W27" t="s">
        <v>270</v>
      </c>
      <c r="X27" t="s">
        <v>266</v>
      </c>
      <c r="Y27" t="s">
        <v>268</v>
      </c>
    </row>
    <row r="28" spans="1:25" x14ac:dyDescent="0.25">
      <c r="A28" t="s">
        <v>67</v>
      </c>
      <c r="B28" t="s">
        <v>251</v>
      </c>
      <c r="C28" t="s">
        <v>267</v>
      </c>
      <c r="D28" t="s">
        <v>249</v>
      </c>
      <c r="E28" t="s">
        <v>271</v>
      </c>
      <c r="F28" t="s">
        <v>264</v>
      </c>
      <c r="G28" t="s">
        <v>257</v>
      </c>
      <c r="H28" t="s">
        <v>255</v>
      </c>
      <c r="I28" t="s">
        <v>272</v>
      </c>
      <c r="J28" t="s">
        <v>258</v>
      </c>
      <c r="K28" t="s">
        <v>260</v>
      </c>
      <c r="L28" t="s">
        <v>269</v>
      </c>
      <c r="M28" t="s">
        <v>250</v>
      </c>
      <c r="N28" t="s">
        <v>254</v>
      </c>
      <c r="O28" t="s">
        <v>252</v>
      </c>
      <c r="P28" t="s">
        <v>263</v>
      </c>
      <c r="Q28" t="s">
        <v>256</v>
      </c>
      <c r="R28" t="s">
        <v>261</v>
      </c>
      <c r="S28" t="s">
        <v>259</v>
      </c>
      <c r="T28" t="s">
        <v>266</v>
      </c>
      <c r="U28" t="s">
        <v>268</v>
      </c>
      <c r="V28" t="s">
        <v>262</v>
      </c>
      <c r="W28" t="s">
        <v>270</v>
      </c>
      <c r="X28" t="s">
        <v>265</v>
      </c>
      <c r="Y28" t="s">
        <v>253</v>
      </c>
    </row>
    <row r="29" spans="1:25" x14ac:dyDescent="0.25">
      <c r="A29" t="s">
        <v>68</v>
      </c>
      <c r="B29" t="s">
        <v>272</v>
      </c>
      <c r="C29" t="s">
        <v>268</v>
      </c>
      <c r="D29" t="s">
        <v>251</v>
      </c>
      <c r="E29" t="s">
        <v>265</v>
      </c>
      <c r="F29" t="s">
        <v>270</v>
      </c>
      <c r="G29" t="s">
        <v>269</v>
      </c>
      <c r="H29" t="s">
        <v>254</v>
      </c>
      <c r="I29" t="s">
        <v>256</v>
      </c>
      <c r="J29" t="s">
        <v>249</v>
      </c>
      <c r="K29" t="s">
        <v>252</v>
      </c>
      <c r="L29" t="s">
        <v>263</v>
      </c>
      <c r="M29" t="s">
        <v>253</v>
      </c>
      <c r="N29" t="s">
        <v>255</v>
      </c>
      <c r="O29" t="s">
        <v>261</v>
      </c>
      <c r="P29" t="s">
        <v>271</v>
      </c>
      <c r="Q29" t="s">
        <v>250</v>
      </c>
      <c r="R29" t="s">
        <v>262</v>
      </c>
      <c r="S29" t="s">
        <v>267</v>
      </c>
      <c r="T29" t="s">
        <v>266</v>
      </c>
      <c r="U29" t="s">
        <v>258</v>
      </c>
      <c r="V29" t="s">
        <v>259</v>
      </c>
      <c r="W29" t="s">
        <v>257</v>
      </c>
      <c r="X29" t="s">
        <v>260</v>
      </c>
      <c r="Y29" t="s">
        <v>264</v>
      </c>
    </row>
    <row r="30" spans="1:25" x14ac:dyDescent="0.25">
      <c r="A30" t="s">
        <v>74</v>
      </c>
      <c r="B30" t="s">
        <v>271</v>
      </c>
      <c r="C30" t="s">
        <v>256</v>
      </c>
      <c r="D30" t="s">
        <v>252</v>
      </c>
      <c r="E30" t="s">
        <v>262</v>
      </c>
      <c r="F30" t="s">
        <v>269</v>
      </c>
      <c r="G30" t="s">
        <v>250</v>
      </c>
      <c r="H30" t="s">
        <v>249</v>
      </c>
      <c r="I30" t="s">
        <v>254</v>
      </c>
      <c r="J30" t="s">
        <v>268</v>
      </c>
      <c r="K30" t="s">
        <v>266</v>
      </c>
      <c r="L30" t="s">
        <v>253</v>
      </c>
      <c r="M30" t="s">
        <v>260</v>
      </c>
      <c r="N30" t="s">
        <v>264</v>
      </c>
      <c r="O30" t="s">
        <v>257</v>
      </c>
      <c r="P30" t="s">
        <v>265</v>
      </c>
      <c r="Q30" t="s">
        <v>261</v>
      </c>
      <c r="R30" t="s">
        <v>258</v>
      </c>
      <c r="S30" t="s">
        <v>263</v>
      </c>
      <c r="T30" t="s">
        <v>251</v>
      </c>
      <c r="U30" t="s">
        <v>259</v>
      </c>
      <c r="V30" t="s">
        <v>270</v>
      </c>
      <c r="W30" t="s">
        <v>255</v>
      </c>
      <c r="X30" t="s">
        <v>272</v>
      </c>
      <c r="Y30" t="s">
        <v>267</v>
      </c>
    </row>
    <row r="31" spans="1:25" x14ac:dyDescent="0.25">
      <c r="A31" t="s">
        <v>75</v>
      </c>
      <c r="B31" t="s">
        <v>257</v>
      </c>
      <c r="C31" t="s">
        <v>260</v>
      </c>
      <c r="D31" t="s">
        <v>252</v>
      </c>
      <c r="E31" t="s">
        <v>270</v>
      </c>
      <c r="F31" t="s">
        <v>251</v>
      </c>
      <c r="G31" t="s">
        <v>254</v>
      </c>
      <c r="H31" t="s">
        <v>256</v>
      </c>
      <c r="I31" t="s">
        <v>250</v>
      </c>
      <c r="J31" t="s">
        <v>262</v>
      </c>
      <c r="K31" t="s">
        <v>269</v>
      </c>
      <c r="L31" t="s">
        <v>261</v>
      </c>
      <c r="M31" t="s">
        <v>255</v>
      </c>
      <c r="N31" t="s">
        <v>263</v>
      </c>
      <c r="O31" t="s">
        <v>267</v>
      </c>
      <c r="P31" t="s">
        <v>265</v>
      </c>
      <c r="Q31" t="s">
        <v>249</v>
      </c>
      <c r="R31" t="s">
        <v>258</v>
      </c>
      <c r="S31" t="s">
        <v>268</v>
      </c>
      <c r="T31" t="s">
        <v>266</v>
      </c>
      <c r="U31" t="s">
        <v>253</v>
      </c>
      <c r="V31" t="s">
        <v>272</v>
      </c>
      <c r="W31" t="s">
        <v>264</v>
      </c>
      <c r="X31" t="s">
        <v>259</v>
      </c>
      <c r="Y31" t="s">
        <v>271</v>
      </c>
    </row>
    <row r="32" spans="1:25" x14ac:dyDescent="0.25">
      <c r="A32" t="s">
        <v>76</v>
      </c>
      <c r="B32" t="s">
        <v>253</v>
      </c>
      <c r="C32" t="s">
        <v>249</v>
      </c>
      <c r="D32" t="s">
        <v>270</v>
      </c>
      <c r="E32" t="s">
        <v>261</v>
      </c>
      <c r="F32" t="s">
        <v>262</v>
      </c>
      <c r="G32" t="s">
        <v>264</v>
      </c>
      <c r="H32" t="s">
        <v>252</v>
      </c>
      <c r="I32" t="s">
        <v>265</v>
      </c>
      <c r="J32" t="s">
        <v>251</v>
      </c>
      <c r="K32" t="s">
        <v>263</v>
      </c>
      <c r="L32" t="s">
        <v>267</v>
      </c>
      <c r="M32" t="s">
        <v>256</v>
      </c>
      <c r="N32" t="s">
        <v>272</v>
      </c>
      <c r="O32" t="s">
        <v>268</v>
      </c>
      <c r="P32" t="s">
        <v>260</v>
      </c>
      <c r="Q32" t="s">
        <v>258</v>
      </c>
      <c r="R32" t="s">
        <v>250</v>
      </c>
      <c r="S32" t="s">
        <v>259</v>
      </c>
      <c r="T32" t="s">
        <v>269</v>
      </c>
      <c r="U32" t="s">
        <v>271</v>
      </c>
      <c r="V32" t="s">
        <v>255</v>
      </c>
      <c r="W32" t="s">
        <v>254</v>
      </c>
      <c r="X32" t="s">
        <v>257</v>
      </c>
      <c r="Y32" t="s">
        <v>266</v>
      </c>
    </row>
    <row r="33" spans="1:25" x14ac:dyDescent="0.25">
      <c r="A33" t="s">
        <v>131</v>
      </c>
      <c r="B33" t="s">
        <v>257</v>
      </c>
      <c r="C33" t="s">
        <v>263</v>
      </c>
      <c r="D33" t="s">
        <v>269</v>
      </c>
      <c r="E33" t="s">
        <v>272</v>
      </c>
      <c r="F33" t="s">
        <v>261</v>
      </c>
      <c r="G33" t="s">
        <v>270</v>
      </c>
      <c r="H33" t="s">
        <v>264</v>
      </c>
      <c r="I33" t="s">
        <v>258</v>
      </c>
      <c r="J33" t="s">
        <v>256</v>
      </c>
      <c r="K33" t="s">
        <v>266</v>
      </c>
      <c r="L33" t="s">
        <v>271</v>
      </c>
      <c r="M33" t="s">
        <v>254</v>
      </c>
      <c r="N33" t="s">
        <v>252</v>
      </c>
      <c r="O33" t="s">
        <v>267</v>
      </c>
      <c r="P33" t="s">
        <v>250</v>
      </c>
      <c r="Q33" t="s">
        <v>262</v>
      </c>
      <c r="R33" t="s">
        <v>259</v>
      </c>
      <c r="S33" t="s">
        <v>253</v>
      </c>
      <c r="T33" t="s">
        <v>265</v>
      </c>
      <c r="U33" t="s">
        <v>251</v>
      </c>
      <c r="V33" t="s">
        <v>268</v>
      </c>
      <c r="W33" t="s">
        <v>255</v>
      </c>
      <c r="X33" t="s">
        <v>260</v>
      </c>
      <c r="Y33" t="s">
        <v>249</v>
      </c>
    </row>
    <row r="34" spans="1:25" x14ac:dyDescent="0.25">
      <c r="A34" t="s">
        <v>132</v>
      </c>
      <c r="B34" t="s">
        <v>259</v>
      </c>
      <c r="C34" t="s">
        <v>256</v>
      </c>
      <c r="D34" t="s">
        <v>272</v>
      </c>
      <c r="E34" t="s">
        <v>250</v>
      </c>
      <c r="F34" t="s">
        <v>252</v>
      </c>
      <c r="G34" t="s">
        <v>260</v>
      </c>
      <c r="H34" t="s">
        <v>265</v>
      </c>
      <c r="I34" t="s">
        <v>249</v>
      </c>
      <c r="J34" t="s">
        <v>264</v>
      </c>
      <c r="K34" t="s">
        <v>258</v>
      </c>
      <c r="L34" t="s">
        <v>262</v>
      </c>
      <c r="M34" t="s">
        <v>268</v>
      </c>
      <c r="N34" t="s">
        <v>255</v>
      </c>
      <c r="O34" t="s">
        <v>257</v>
      </c>
      <c r="P34" t="s">
        <v>266</v>
      </c>
      <c r="Q34" t="s">
        <v>251</v>
      </c>
      <c r="R34" t="s">
        <v>267</v>
      </c>
      <c r="S34" t="s">
        <v>270</v>
      </c>
      <c r="T34" t="s">
        <v>269</v>
      </c>
      <c r="U34" t="s">
        <v>254</v>
      </c>
      <c r="V34" t="s">
        <v>263</v>
      </c>
      <c r="W34" t="s">
        <v>271</v>
      </c>
      <c r="X34" t="s">
        <v>261</v>
      </c>
      <c r="Y34" t="s">
        <v>253</v>
      </c>
    </row>
    <row r="35" spans="1:25" x14ac:dyDescent="0.25">
      <c r="A35" t="s">
        <v>133</v>
      </c>
      <c r="B35" t="s">
        <v>262</v>
      </c>
      <c r="C35" t="s">
        <v>257</v>
      </c>
      <c r="D35" t="s">
        <v>252</v>
      </c>
      <c r="E35" t="s">
        <v>265</v>
      </c>
      <c r="F35" t="s">
        <v>267</v>
      </c>
      <c r="G35" t="s">
        <v>266</v>
      </c>
      <c r="H35" t="s">
        <v>268</v>
      </c>
      <c r="I35" t="s">
        <v>250</v>
      </c>
      <c r="J35" t="s">
        <v>271</v>
      </c>
      <c r="K35" t="s">
        <v>255</v>
      </c>
      <c r="L35" t="s">
        <v>253</v>
      </c>
      <c r="M35" t="s">
        <v>264</v>
      </c>
      <c r="N35" t="s">
        <v>249</v>
      </c>
      <c r="O35" t="s">
        <v>270</v>
      </c>
      <c r="P35" t="s">
        <v>251</v>
      </c>
      <c r="Q35" t="s">
        <v>263</v>
      </c>
      <c r="R35" t="s">
        <v>256</v>
      </c>
      <c r="S35" t="s">
        <v>260</v>
      </c>
      <c r="T35" t="s">
        <v>254</v>
      </c>
      <c r="U35" t="s">
        <v>269</v>
      </c>
      <c r="V35" t="s">
        <v>259</v>
      </c>
      <c r="W35" t="s">
        <v>261</v>
      </c>
      <c r="X35" t="s">
        <v>272</v>
      </c>
      <c r="Y35" t="s">
        <v>258</v>
      </c>
    </row>
    <row r="36" spans="1:25" x14ac:dyDescent="0.25">
      <c r="A36" t="s">
        <v>134</v>
      </c>
      <c r="B36" t="s">
        <v>250</v>
      </c>
      <c r="C36" t="s">
        <v>258</v>
      </c>
      <c r="D36" t="s">
        <v>255</v>
      </c>
      <c r="E36" t="s">
        <v>253</v>
      </c>
      <c r="F36" t="s">
        <v>267</v>
      </c>
      <c r="G36" t="s">
        <v>261</v>
      </c>
      <c r="H36" t="s">
        <v>265</v>
      </c>
      <c r="I36" t="s">
        <v>263</v>
      </c>
      <c r="J36" t="s">
        <v>256</v>
      </c>
      <c r="K36" t="s">
        <v>268</v>
      </c>
      <c r="L36" t="s">
        <v>271</v>
      </c>
      <c r="M36" t="s">
        <v>260</v>
      </c>
      <c r="N36" t="s">
        <v>264</v>
      </c>
      <c r="O36" t="s">
        <v>259</v>
      </c>
      <c r="P36" t="s">
        <v>272</v>
      </c>
      <c r="Q36" t="s">
        <v>252</v>
      </c>
      <c r="R36" t="s">
        <v>262</v>
      </c>
      <c r="S36" t="s">
        <v>249</v>
      </c>
      <c r="T36" t="s">
        <v>251</v>
      </c>
      <c r="U36" t="s">
        <v>270</v>
      </c>
      <c r="V36" t="s">
        <v>254</v>
      </c>
      <c r="W36" t="s">
        <v>266</v>
      </c>
      <c r="X36" t="s">
        <v>269</v>
      </c>
      <c r="Y36" t="s">
        <v>257</v>
      </c>
    </row>
    <row r="37" spans="1:25" x14ac:dyDescent="0.25">
      <c r="A37" t="s">
        <v>135</v>
      </c>
      <c r="B37" t="s">
        <v>271</v>
      </c>
      <c r="C37" t="s">
        <v>251</v>
      </c>
      <c r="D37" t="s">
        <v>261</v>
      </c>
      <c r="E37" t="s">
        <v>272</v>
      </c>
      <c r="F37" t="s">
        <v>256</v>
      </c>
      <c r="G37" t="s">
        <v>260</v>
      </c>
      <c r="H37" t="s">
        <v>254</v>
      </c>
      <c r="I37" t="s">
        <v>268</v>
      </c>
      <c r="J37" t="s">
        <v>257</v>
      </c>
      <c r="K37" t="s">
        <v>266</v>
      </c>
      <c r="L37" t="s">
        <v>253</v>
      </c>
      <c r="M37" t="s">
        <v>265</v>
      </c>
      <c r="N37" t="s">
        <v>269</v>
      </c>
      <c r="O37" t="s">
        <v>264</v>
      </c>
      <c r="P37" t="s">
        <v>263</v>
      </c>
      <c r="Q37" t="s">
        <v>249</v>
      </c>
      <c r="R37" t="s">
        <v>252</v>
      </c>
      <c r="S37" t="s">
        <v>250</v>
      </c>
      <c r="T37" t="s">
        <v>270</v>
      </c>
      <c r="U37" t="s">
        <v>258</v>
      </c>
      <c r="V37" t="s">
        <v>262</v>
      </c>
      <c r="W37" t="s">
        <v>259</v>
      </c>
      <c r="X37" t="s">
        <v>255</v>
      </c>
      <c r="Y37" t="s">
        <v>267</v>
      </c>
    </row>
    <row r="38" spans="1:25" x14ac:dyDescent="0.25">
      <c r="A38" t="s">
        <v>136</v>
      </c>
      <c r="B38" t="s">
        <v>255</v>
      </c>
      <c r="C38" t="s">
        <v>253</v>
      </c>
      <c r="D38" t="s">
        <v>260</v>
      </c>
      <c r="E38" t="s">
        <v>257</v>
      </c>
      <c r="F38" t="s">
        <v>261</v>
      </c>
      <c r="G38" t="s">
        <v>252</v>
      </c>
      <c r="H38" t="s">
        <v>249</v>
      </c>
      <c r="I38" t="s">
        <v>268</v>
      </c>
      <c r="J38" t="s">
        <v>272</v>
      </c>
      <c r="K38" t="s">
        <v>269</v>
      </c>
      <c r="L38" t="s">
        <v>256</v>
      </c>
      <c r="M38" t="s">
        <v>270</v>
      </c>
      <c r="N38" t="s">
        <v>259</v>
      </c>
      <c r="O38" t="s">
        <v>258</v>
      </c>
      <c r="P38" t="s">
        <v>266</v>
      </c>
      <c r="Q38" t="s">
        <v>265</v>
      </c>
      <c r="R38" t="s">
        <v>262</v>
      </c>
      <c r="S38" t="s">
        <v>267</v>
      </c>
      <c r="T38" t="s">
        <v>254</v>
      </c>
      <c r="U38" t="s">
        <v>271</v>
      </c>
      <c r="V38" t="s">
        <v>250</v>
      </c>
      <c r="W38" t="s">
        <v>263</v>
      </c>
      <c r="X38" t="s">
        <v>251</v>
      </c>
      <c r="Y38" t="s">
        <v>264</v>
      </c>
    </row>
    <row r="39" spans="1:25" x14ac:dyDescent="0.25">
      <c r="A39" t="s">
        <v>137</v>
      </c>
      <c r="B39" t="s">
        <v>258</v>
      </c>
      <c r="C39" t="s">
        <v>257</v>
      </c>
      <c r="D39" t="s">
        <v>267</v>
      </c>
      <c r="E39" t="s">
        <v>270</v>
      </c>
      <c r="F39" t="s">
        <v>251</v>
      </c>
      <c r="G39" t="s">
        <v>271</v>
      </c>
      <c r="H39" t="s">
        <v>272</v>
      </c>
      <c r="I39" t="s">
        <v>260</v>
      </c>
      <c r="J39" t="s">
        <v>253</v>
      </c>
      <c r="K39" t="s">
        <v>268</v>
      </c>
      <c r="L39" t="s">
        <v>252</v>
      </c>
      <c r="M39" t="s">
        <v>250</v>
      </c>
      <c r="N39" t="s">
        <v>261</v>
      </c>
      <c r="O39" t="s">
        <v>264</v>
      </c>
      <c r="P39" t="s">
        <v>256</v>
      </c>
      <c r="Q39" t="s">
        <v>263</v>
      </c>
      <c r="R39" t="s">
        <v>254</v>
      </c>
      <c r="S39" t="s">
        <v>255</v>
      </c>
      <c r="T39" t="s">
        <v>249</v>
      </c>
      <c r="U39" t="s">
        <v>269</v>
      </c>
      <c r="V39" t="s">
        <v>259</v>
      </c>
      <c r="W39" t="s">
        <v>262</v>
      </c>
      <c r="X39" t="s">
        <v>265</v>
      </c>
      <c r="Y39" t="s">
        <v>266</v>
      </c>
    </row>
    <row r="40" spans="1:25" x14ac:dyDescent="0.25">
      <c r="A40" t="s">
        <v>138</v>
      </c>
      <c r="B40" t="s">
        <v>253</v>
      </c>
      <c r="C40" t="s">
        <v>269</v>
      </c>
      <c r="D40" t="s">
        <v>251</v>
      </c>
      <c r="E40" t="s">
        <v>265</v>
      </c>
      <c r="F40" t="s">
        <v>252</v>
      </c>
      <c r="G40" t="s">
        <v>271</v>
      </c>
      <c r="H40" t="s">
        <v>267</v>
      </c>
      <c r="I40" t="s">
        <v>262</v>
      </c>
      <c r="J40" t="s">
        <v>259</v>
      </c>
      <c r="K40" t="s">
        <v>272</v>
      </c>
      <c r="L40" t="s">
        <v>266</v>
      </c>
      <c r="M40" t="s">
        <v>250</v>
      </c>
      <c r="N40" t="s">
        <v>268</v>
      </c>
      <c r="O40" t="s">
        <v>249</v>
      </c>
      <c r="P40" t="s">
        <v>255</v>
      </c>
      <c r="Q40" t="s">
        <v>254</v>
      </c>
      <c r="R40" t="s">
        <v>260</v>
      </c>
      <c r="S40" t="s">
        <v>256</v>
      </c>
      <c r="T40" t="s">
        <v>257</v>
      </c>
      <c r="U40" t="s">
        <v>270</v>
      </c>
      <c r="V40" t="s">
        <v>258</v>
      </c>
      <c r="W40" t="s">
        <v>264</v>
      </c>
      <c r="X40" t="s">
        <v>261</v>
      </c>
      <c r="Y40" t="s">
        <v>263</v>
      </c>
    </row>
    <row r="41" spans="1:25" x14ac:dyDescent="0.25">
      <c r="A41" t="s">
        <v>139</v>
      </c>
      <c r="B41" t="s">
        <v>252</v>
      </c>
      <c r="C41" t="s">
        <v>271</v>
      </c>
      <c r="D41" t="s">
        <v>270</v>
      </c>
      <c r="E41" t="s">
        <v>262</v>
      </c>
      <c r="F41" t="s">
        <v>265</v>
      </c>
      <c r="G41" t="s">
        <v>254</v>
      </c>
      <c r="H41" t="s">
        <v>261</v>
      </c>
      <c r="I41" t="s">
        <v>269</v>
      </c>
      <c r="J41" t="s">
        <v>272</v>
      </c>
      <c r="K41" t="s">
        <v>251</v>
      </c>
      <c r="L41" t="s">
        <v>268</v>
      </c>
      <c r="M41" t="s">
        <v>249</v>
      </c>
      <c r="N41" t="s">
        <v>255</v>
      </c>
      <c r="O41" t="s">
        <v>259</v>
      </c>
      <c r="P41" t="s">
        <v>250</v>
      </c>
      <c r="Q41" t="s">
        <v>267</v>
      </c>
      <c r="R41" t="s">
        <v>266</v>
      </c>
      <c r="S41" t="s">
        <v>253</v>
      </c>
      <c r="T41" t="s">
        <v>263</v>
      </c>
      <c r="U41" t="s">
        <v>258</v>
      </c>
      <c r="V41" t="s">
        <v>256</v>
      </c>
      <c r="W41" t="s">
        <v>257</v>
      </c>
      <c r="X41" t="s">
        <v>264</v>
      </c>
      <c r="Y41" t="s">
        <v>260</v>
      </c>
    </row>
    <row r="42" spans="1:25" x14ac:dyDescent="0.25">
      <c r="A42" t="s">
        <v>140</v>
      </c>
      <c r="B42" t="s">
        <v>268</v>
      </c>
      <c r="C42" t="s">
        <v>261</v>
      </c>
      <c r="D42" t="s">
        <v>259</v>
      </c>
      <c r="E42" t="s">
        <v>272</v>
      </c>
      <c r="F42" t="s">
        <v>263</v>
      </c>
      <c r="G42" t="s">
        <v>250</v>
      </c>
      <c r="H42" t="s">
        <v>256</v>
      </c>
      <c r="I42" t="s">
        <v>254</v>
      </c>
      <c r="J42" t="s">
        <v>270</v>
      </c>
      <c r="K42" t="s">
        <v>267</v>
      </c>
      <c r="L42" t="s">
        <v>271</v>
      </c>
      <c r="M42" t="s">
        <v>253</v>
      </c>
      <c r="N42" t="s">
        <v>266</v>
      </c>
      <c r="O42" t="s">
        <v>249</v>
      </c>
      <c r="P42" t="s">
        <v>252</v>
      </c>
      <c r="Q42" t="s">
        <v>264</v>
      </c>
      <c r="R42" t="s">
        <v>265</v>
      </c>
      <c r="S42" t="s">
        <v>257</v>
      </c>
      <c r="T42" t="s">
        <v>258</v>
      </c>
      <c r="U42" t="s">
        <v>262</v>
      </c>
      <c r="V42" t="s">
        <v>255</v>
      </c>
      <c r="W42" t="s">
        <v>260</v>
      </c>
      <c r="X42" t="s">
        <v>251</v>
      </c>
      <c r="Y42" t="s">
        <v>269</v>
      </c>
    </row>
    <row r="43" spans="1:25" x14ac:dyDescent="0.25">
      <c r="A43" t="s">
        <v>141</v>
      </c>
      <c r="B43" t="s">
        <v>250</v>
      </c>
      <c r="C43" t="s">
        <v>264</v>
      </c>
      <c r="D43" t="s">
        <v>261</v>
      </c>
      <c r="E43" t="s">
        <v>270</v>
      </c>
      <c r="F43" t="s">
        <v>257</v>
      </c>
      <c r="G43" t="s">
        <v>252</v>
      </c>
      <c r="H43" t="s">
        <v>258</v>
      </c>
      <c r="I43" t="s">
        <v>256</v>
      </c>
      <c r="J43" t="s">
        <v>268</v>
      </c>
      <c r="K43" t="s">
        <v>262</v>
      </c>
      <c r="L43" t="s">
        <v>272</v>
      </c>
      <c r="M43" t="s">
        <v>266</v>
      </c>
      <c r="N43" t="s">
        <v>263</v>
      </c>
      <c r="O43" t="s">
        <v>269</v>
      </c>
      <c r="P43" t="s">
        <v>271</v>
      </c>
      <c r="Q43" t="s">
        <v>267</v>
      </c>
      <c r="R43" t="s">
        <v>255</v>
      </c>
      <c r="S43" t="s">
        <v>259</v>
      </c>
      <c r="T43" t="s">
        <v>260</v>
      </c>
      <c r="U43" t="s">
        <v>251</v>
      </c>
      <c r="V43" t="s">
        <v>249</v>
      </c>
      <c r="W43" t="s">
        <v>254</v>
      </c>
      <c r="X43" t="s">
        <v>265</v>
      </c>
      <c r="Y43" t="s">
        <v>253</v>
      </c>
    </row>
    <row r="44" spans="1:25" x14ac:dyDescent="0.25">
      <c r="A44" t="s">
        <v>142</v>
      </c>
      <c r="B44" t="s">
        <v>259</v>
      </c>
      <c r="C44" t="s">
        <v>256</v>
      </c>
      <c r="D44" t="s">
        <v>253</v>
      </c>
      <c r="E44" t="s">
        <v>270</v>
      </c>
      <c r="F44" t="s">
        <v>262</v>
      </c>
      <c r="G44" t="s">
        <v>269</v>
      </c>
      <c r="H44" t="s">
        <v>261</v>
      </c>
      <c r="I44" t="s">
        <v>272</v>
      </c>
      <c r="J44" t="s">
        <v>264</v>
      </c>
      <c r="K44" t="s">
        <v>251</v>
      </c>
      <c r="L44" t="s">
        <v>255</v>
      </c>
      <c r="M44" t="s">
        <v>260</v>
      </c>
      <c r="N44" t="s">
        <v>265</v>
      </c>
      <c r="O44" t="s">
        <v>268</v>
      </c>
      <c r="P44" t="s">
        <v>257</v>
      </c>
      <c r="Q44" t="s">
        <v>258</v>
      </c>
      <c r="R44" t="s">
        <v>254</v>
      </c>
      <c r="S44" t="s">
        <v>263</v>
      </c>
      <c r="T44" t="s">
        <v>266</v>
      </c>
      <c r="U44" t="s">
        <v>250</v>
      </c>
      <c r="V44" t="s">
        <v>252</v>
      </c>
      <c r="W44" t="s">
        <v>271</v>
      </c>
      <c r="X44" t="s">
        <v>267</v>
      </c>
      <c r="Y44" t="s">
        <v>249</v>
      </c>
    </row>
    <row r="45" spans="1:25" x14ac:dyDescent="0.25">
      <c r="A45" t="s">
        <v>143</v>
      </c>
      <c r="B45" t="s">
        <v>270</v>
      </c>
      <c r="C45" t="s">
        <v>260</v>
      </c>
      <c r="D45" t="s">
        <v>257</v>
      </c>
      <c r="E45" t="s">
        <v>261</v>
      </c>
      <c r="F45" t="s">
        <v>263</v>
      </c>
      <c r="G45" t="s">
        <v>256</v>
      </c>
      <c r="H45" t="s">
        <v>262</v>
      </c>
      <c r="I45" t="s">
        <v>266</v>
      </c>
      <c r="J45" t="s">
        <v>249</v>
      </c>
      <c r="K45" t="s">
        <v>255</v>
      </c>
      <c r="L45" t="s">
        <v>269</v>
      </c>
      <c r="M45" t="s">
        <v>254</v>
      </c>
      <c r="N45" t="s">
        <v>250</v>
      </c>
      <c r="O45" t="s">
        <v>267</v>
      </c>
      <c r="P45" t="s">
        <v>252</v>
      </c>
      <c r="Q45" t="s">
        <v>251</v>
      </c>
      <c r="R45" t="s">
        <v>253</v>
      </c>
      <c r="S45" t="s">
        <v>271</v>
      </c>
      <c r="T45" t="s">
        <v>272</v>
      </c>
      <c r="U45" t="s">
        <v>259</v>
      </c>
      <c r="V45" t="s">
        <v>264</v>
      </c>
      <c r="W45" t="s">
        <v>268</v>
      </c>
      <c r="X45" t="s">
        <v>258</v>
      </c>
      <c r="Y45" t="s">
        <v>265</v>
      </c>
    </row>
    <row r="46" spans="1:25" x14ac:dyDescent="0.25">
      <c r="A46" t="s">
        <v>144</v>
      </c>
      <c r="B46" t="s">
        <v>266</v>
      </c>
      <c r="C46" t="s">
        <v>268</v>
      </c>
      <c r="D46" t="s">
        <v>272</v>
      </c>
      <c r="E46" t="s">
        <v>258</v>
      </c>
      <c r="F46" t="s">
        <v>265</v>
      </c>
      <c r="G46" t="s">
        <v>262</v>
      </c>
      <c r="H46" t="s">
        <v>269</v>
      </c>
      <c r="I46" t="s">
        <v>249</v>
      </c>
      <c r="J46" t="s">
        <v>250</v>
      </c>
      <c r="K46" t="s">
        <v>254</v>
      </c>
      <c r="L46" t="s">
        <v>257</v>
      </c>
      <c r="M46" t="s">
        <v>253</v>
      </c>
      <c r="N46" t="s">
        <v>267</v>
      </c>
      <c r="O46" t="s">
        <v>256</v>
      </c>
      <c r="P46" t="s">
        <v>255</v>
      </c>
      <c r="Q46" t="s">
        <v>260</v>
      </c>
      <c r="R46" t="s">
        <v>263</v>
      </c>
      <c r="S46" t="s">
        <v>251</v>
      </c>
      <c r="T46" t="s">
        <v>259</v>
      </c>
      <c r="U46" t="s">
        <v>261</v>
      </c>
      <c r="V46" t="s">
        <v>270</v>
      </c>
      <c r="W46" t="s">
        <v>271</v>
      </c>
      <c r="X46" t="s">
        <v>264</v>
      </c>
      <c r="Y46" t="s">
        <v>252</v>
      </c>
    </row>
    <row r="47" spans="1:25" x14ac:dyDescent="0.25">
      <c r="A47" t="s">
        <v>145</v>
      </c>
      <c r="B47" t="s">
        <v>263</v>
      </c>
      <c r="C47" t="s">
        <v>267</v>
      </c>
      <c r="D47" t="s">
        <v>262</v>
      </c>
      <c r="E47" t="s">
        <v>251</v>
      </c>
      <c r="F47" t="s">
        <v>257</v>
      </c>
      <c r="G47" t="s">
        <v>261</v>
      </c>
      <c r="H47" t="s">
        <v>258</v>
      </c>
      <c r="I47" t="s">
        <v>265</v>
      </c>
      <c r="J47" t="s">
        <v>254</v>
      </c>
      <c r="K47" t="s">
        <v>264</v>
      </c>
      <c r="L47" t="s">
        <v>253</v>
      </c>
      <c r="M47" t="s">
        <v>270</v>
      </c>
      <c r="N47" t="s">
        <v>250</v>
      </c>
      <c r="O47" t="s">
        <v>269</v>
      </c>
      <c r="P47" t="s">
        <v>252</v>
      </c>
      <c r="Q47" t="s">
        <v>271</v>
      </c>
      <c r="R47" t="s">
        <v>249</v>
      </c>
      <c r="S47" t="s">
        <v>259</v>
      </c>
      <c r="T47" t="s">
        <v>272</v>
      </c>
      <c r="U47" t="s">
        <v>266</v>
      </c>
      <c r="V47" t="s">
        <v>268</v>
      </c>
      <c r="W47" t="s">
        <v>255</v>
      </c>
      <c r="X47" t="s">
        <v>260</v>
      </c>
      <c r="Y47" t="s">
        <v>256</v>
      </c>
    </row>
    <row r="48" spans="1:25" x14ac:dyDescent="0.25">
      <c r="A48" t="s">
        <v>146</v>
      </c>
      <c r="B48" t="s">
        <v>254</v>
      </c>
      <c r="C48" t="s">
        <v>256</v>
      </c>
      <c r="D48" t="s">
        <v>260</v>
      </c>
      <c r="E48" t="s">
        <v>250</v>
      </c>
      <c r="F48" t="s">
        <v>249</v>
      </c>
      <c r="G48" t="s">
        <v>272</v>
      </c>
      <c r="H48" t="s">
        <v>265</v>
      </c>
      <c r="I48" t="s">
        <v>258</v>
      </c>
      <c r="J48" t="s">
        <v>267</v>
      </c>
      <c r="K48" t="s">
        <v>266</v>
      </c>
      <c r="L48" t="s">
        <v>270</v>
      </c>
      <c r="M48" t="s">
        <v>253</v>
      </c>
      <c r="N48" t="s">
        <v>269</v>
      </c>
      <c r="O48" t="s">
        <v>259</v>
      </c>
      <c r="P48" t="s">
        <v>264</v>
      </c>
      <c r="Q48" t="s">
        <v>251</v>
      </c>
      <c r="R48" t="s">
        <v>268</v>
      </c>
      <c r="S48" t="s">
        <v>257</v>
      </c>
      <c r="T48" t="s">
        <v>252</v>
      </c>
      <c r="U48" t="s">
        <v>261</v>
      </c>
      <c r="V48" t="s">
        <v>263</v>
      </c>
      <c r="W48" t="s">
        <v>255</v>
      </c>
      <c r="X48" t="s">
        <v>271</v>
      </c>
      <c r="Y48" t="s">
        <v>262</v>
      </c>
    </row>
    <row r="49" spans="1:25" x14ac:dyDescent="0.25">
      <c r="A49" t="s">
        <v>147</v>
      </c>
      <c r="B49" t="s">
        <v>257</v>
      </c>
      <c r="C49" t="s">
        <v>263</v>
      </c>
      <c r="D49" t="s">
        <v>253</v>
      </c>
      <c r="E49" t="s">
        <v>256</v>
      </c>
      <c r="F49" t="s">
        <v>270</v>
      </c>
      <c r="G49" t="s">
        <v>249</v>
      </c>
      <c r="H49" t="s">
        <v>272</v>
      </c>
      <c r="I49" t="s">
        <v>250</v>
      </c>
      <c r="J49" t="s">
        <v>266</v>
      </c>
      <c r="K49" t="s">
        <v>255</v>
      </c>
      <c r="L49" t="s">
        <v>268</v>
      </c>
      <c r="M49" t="s">
        <v>251</v>
      </c>
      <c r="N49" t="s">
        <v>269</v>
      </c>
      <c r="O49" t="s">
        <v>252</v>
      </c>
      <c r="P49" t="s">
        <v>261</v>
      </c>
      <c r="Q49" t="s">
        <v>271</v>
      </c>
      <c r="R49" t="s">
        <v>262</v>
      </c>
      <c r="S49" t="s">
        <v>264</v>
      </c>
      <c r="T49" t="s">
        <v>259</v>
      </c>
      <c r="U49" t="s">
        <v>260</v>
      </c>
      <c r="V49" t="s">
        <v>258</v>
      </c>
      <c r="W49" t="s">
        <v>267</v>
      </c>
      <c r="X49" t="s">
        <v>254</v>
      </c>
      <c r="Y49" t="s">
        <v>265</v>
      </c>
    </row>
    <row r="50" spans="1:25" x14ac:dyDescent="0.25">
      <c r="A50" t="s">
        <v>148</v>
      </c>
      <c r="B50" t="s">
        <v>264</v>
      </c>
      <c r="C50" t="s">
        <v>262</v>
      </c>
      <c r="D50" t="s">
        <v>258</v>
      </c>
      <c r="E50" t="s">
        <v>259</v>
      </c>
      <c r="F50" t="s">
        <v>251</v>
      </c>
      <c r="G50" t="s">
        <v>272</v>
      </c>
      <c r="H50" t="s">
        <v>265</v>
      </c>
      <c r="I50" t="s">
        <v>253</v>
      </c>
      <c r="J50" t="s">
        <v>270</v>
      </c>
      <c r="K50" t="s">
        <v>271</v>
      </c>
      <c r="L50" t="s">
        <v>257</v>
      </c>
      <c r="M50" t="s">
        <v>254</v>
      </c>
      <c r="N50" t="s">
        <v>260</v>
      </c>
      <c r="O50" t="s">
        <v>266</v>
      </c>
      <c r="P50" t="s">
        <v>261</v>
      </c>
      <c r="Q50" t="s">
        <v>250</v>
      </c>
      <c r="R50" t="s">
        <v>269</v>
      </c>
      <c r="S50" t="s">
        <v>252</v>
      </c>
      <c r="T50" t="s">
        <v>249</v>
      </c>
      <c r="U50" t="s">
        <v>268</v>
      </c>
      <c r="V50" t="s">
        <v>256</v>
      </c>
      <c r="W50" t="s">
        <v>267</v>
      </c>
      <c r="X50" t="s">
        <v>255</v>
      </c>
      <c r="Y50" t="s">
        <v>263</v>
      </c>
    </row>
    <row r="51" spans="1:25" x14ac:dyDescent="0.25">
      <c r="A51" t="s">
        <v>149</v>
      </c>
      <c r="B51" t="s">
        <v>260</v>
      </c>
      <c r="C51" t="s">
        <v>265</v>
      </c>
      <c r="D51" t="s">
        <v>271</v>
      </c>
      <c r="E51" t="s">
        <v>259</v>
      </c>
      <c r="F51" t="s">
        <v>252</v>
      </c>
      <c r="G51" t="s">
        <v>263</v>
      </c>
      <c r="H51" t="s">
        <v>251</v>
      </c>
      <c r="I51" t="s">
        <v>254</v>
      </c>
      <c r="J51" t="s">
        <v>269</v>
      </c>
      <c r="K51" t="s">
        <v>262</v>
      </c>
      <c r="L51" t="s">
        <v>255</v>
      </c>
      <c r="M51" t="s">
        <v>266</v>
      </c>
      <c r="N51" t="s">
        <v>272</v>
      </c>
      <c r="O51" t="s">
        <v>270</v>
      </c>
      <c r="P51" t="s">
        <v>264</v>
      </c>
      <c r="Q51" t="s">
        <v>267</v>
      </c>
      <c r="R51" t="s">
        <v>258</v>
      </c>
      <c r="S51" t="s">
        <v>261</v>
      </c>
      <c r="T51" t="s">
        <v>256</v>
      </c>
      <c r="U51" t="s">
        <v>268</v>
      </c>
      <c r="V51" t="s">
        <v>257</v>
      </c>
      <c r="W51" t="s">
        <v>253</v>
      </c>
      <c r="X51" t="s">
        <v>250</v>
      </c>
      <c r="Y51" t="s">
        <v>249</v>
      </c>
    </row>
    <row r="52" spans="1:25" x14ac:dyDescent="0.25">
      <c r="A52" t="s">
        <v>150</v>
      </c>
      <c r="B52" t="s">
        <v>267</v>
      </c>
      <c r="C52" t="s">
        <v>269</v>
      </c>
      <c r="D52" t="s">
        <v>250</v>
      </c>
      <c r="E52" t="s">
        <v>266</v>
      </c>
      <c r="F52" t="s">
        <v>258</v>
      </c>
      <c r="G52" t="s">
        <v>252</v>
      </c>
      <c r="H52" t="s">
        <v>265</v>
      </c>
      <c r="I52" t="s">
        <v>261</v>
      </c>
      <c r="J52" t="s">
        <v>260</v>
      </c>
      <c r="K52" t="s">
        <v>270</v>
      </c>
      <c r="L52" t="s">
        <v>256</v>
      </c>
      <c r="M52" t="s">
        <v>249</v>
      </c>
      <c r="N52" t="s">
        <v>263</v>
      </c>
      <c r="O52" t="s">
        <v>262</v>
      </c>
      <c r="P52" t="s">
        <v>264</v>
      </c>
      <c r="Q52" t="s">
        <v>272</v>
      </c>
      <c r="R52" t="s">
        <v>271</v>
      </c>
      <c r="S52" t="s">
        <v>253</v>
      </c>
      <c r="T52" t="s">
        <v>257</v>
      </c>
      <c r="U52" t="s">
        <v>268</v>
      </c>
      <c r="V52" t="s">
        <v>259</v>
      </c>
      <c r="W52" t="s">
        <v>254</v>
      </c>
      <c r="X52" t="s">
        <v>251</v>
      </c>
      <c r="Y52" t="s">
        <v>255</v>
      </c>
    </row>
    <row r="53" spans="1:25" x14ac:dyDescent="0.25">
      <c r="A53" t="s">
        <v>151</v>
      </c>
      <c r="B53" t="s">
        <v>261</v>
      </c>
      <c r="C53" t="s">
        <v>258</v>
      </c>
      <c r="D53" t="s">
        <v>266</v>
      </c>
      <c r="E53" t="s">
        <v>255</v>
      </c>
      <c r="F53" t="s">
        <v>263</v>
      </c>
      <c r="G53" t="s">
        <v>252</v>
      </c>
      <c r="H53" t="s">
        <v>268</v>
      </c>
      <c r="I53" t="s">
        <v>262</v>
      </c>
      <c r="J53" t="s">
        <v>265</v>
      </c>
      <c r="K53" t="s">
        <v>251</v>
      </c>
      <c r="L53" t="s">
        <v>264</v>
      </c>
      <c r="M53" t="s">
        <v>253</v>
      </c>
      <c r="N53" t="s">
        <v>272</v>
      </c>
      <c r="O53" t="s">
        <v>271</v>
      </c>
      <c r="P53" t="s">
        <v>267</v>
      </c>
      <c r="Q53" t="s">
        <v>254</v>
      </c>
      <c r="R53" t="s">
        <v>259</v>
      </c>
      <c r="S53" t="s">
        <v>270</v>
      </c>
      <c r="T53" t="s">
        <v>257</v>
      </c>
      <c r="U53" t="s">
        <v>256</v>
      </c>
      <c r="V53" t="s">
        <v>260</v>
      </c>
      <c r="W53" t="s">
        <v>249</v>
      </c>
      <c r="X53" t="s">
        <v>250</v>
      </c>
      <c r="Y53" t="s">
        <v>269</v>
      </c>
    </row>
    <row r="54" spans="1:25" x14ac:dyDescent="0.25">
      <c r="A54" t="s">
        <v>152</v>
      </c>
      <c r="B54" t="s">
        <v>267</v>
      </c>
      <c r="C54" t="s">
        <v>262</v>
      </c>
      <c r="D54" t="s">
        <v>266</v>
      </c>
      <c r="E54" t="s">
        <v>272</v>
      </c>
      <c r="F54" t="s">
        <v>268</v>
      </c>
      <c r="G54" t="s">
        <v>249</v>
      </c>
      <c r="H54" t="s">
        <v>261</v>
      </c>
      <c r="I54" t="s">
        <v>260</v>
      </c>
      <c r="J54" t="s">
        <v>270</v>
      </c>
      <c r="K54" t="s">
        <v>253</v>
      </c>
      <c r="L54" t="s">
        <v>250</v>
      </c>
      <c r="M54" t="s">
        <v>256</v>
      </c>
      <c r="N54" t="s">
        <v>251</v>
      </c>
      <c r="O54" t="s">
        <v>263</v>
      </c>
      <c r="P54" t="s">
        <v>255</v>
      </c>
      <c r="Q54" t="s">
        <v>257</v>
      </c>
      <c r="R54" t="s">
        <v>265</v>
      </c>
      <c r="S54" t="s">
        <v>259</v>
      </c>
      <c r="T54" t="s">
        <v>269</v>
      </c>
      <c r="U54" t="s">
        <v>254</v>
      </c>
      <c r="V54" t="s">
        <v>252</v>
      </c>
      <c r="W54" t="s">
        <v>271</v>
      </c>
      <c r="X54" t="s">
        <v>264</v>
      </c>
      <c r="Y54" t="s">
        <v>258</v>
      </c>
    </row>
    <row r="55" spans="1:25" x14ac:dyDescent="0.25">
      <c r="A55" t="s">
        <v>153</v>
      </c>
      <c r="B55" t="s">
        <v>251</v>
      </c>
      <c r="C55" t="s">
        <v>258</v>
      </c>
      <c r="D55" t="s">
        <v>257</v>
      </c>
      <c r="E55" t="s">
        <v>269</v>
      </c>
      <c r="F55" t="s">
        <v>267</v>
      </c>
      <c r="G55" t="s">
        <v>265</v>
      </c>
      <c r="H55" t="s">
        <v>262</v>
      </c>
      <c r="I55" t="s">
        <v>254</v>
      </c>
      <c r="J55" t="s">
        <v>255</v>
      </c>
      <c r="K55" t="s">
        <v>264</v>
      </c>
      <c r="L55" t="s">
        <v>252</v>
      </c>
      <c r="M55" t="s">
        <v>271</v>
      </c>
      <c r="N55" t="s">
        <v>261</v>
      </c>
      <c r="O55" t="s">
        <v>272</v>
      </c>
      <c r="P55" t="s">
        <v>256</v>
      </c>
      <c r="Q55" t="s">
        <v>250</v>
      </c>
      <c r="R55" t="s">
        <v>249</v>
      </c>
      <c r="S55" t="s">
        <v>266</v>
      </c>
      <c r="T55" t="s">
        <v>253</v>
      </c>
      <c r="U55" t="s">
        <v>260</v>
      </c>
      <c r="V55" t="s">
        <v>268</v>
      </c>
      <c r="W55" t="s">
        <v>259</v>
      </c>
      <c r="X55" t="s">
        <v>270</v>
      </c>
      <c r="Y55" t="s">
        <v>263</v>
      </c>
    </row>
    <row r="56" spans="1:25" x14ac:dyDescent="0.25">
      <c r="A56" t="s">
        <v>154</v>
      </c>
      <c r="B56" t="s">
        <v>252</v>
      </c>
      <c r="C56" t="s">
        <v>266</v>
      </c>
      <c r="D56" t="s">
        <v>249</v>
      </c>
      <c r="E56" t="s">
        <v>272</v>
      </c>
      <c r="F56" t="s">
        <v>255</v>
      </c>
      <c r="G56" t="s">
        <v>264</v>
      </c>
      <c r="H56" t="s">
        <v>256</v>
      </c>
      <c r="I56" t="s">
        <v>250</v>
      </c>
      <c r="J56" t="s">
        <v>263</v>
      </c>
      <c r="K56" t="s">
        <v>251</v>
      </c>
      <c r="L56" t="s">
        <v>261</v>
      </c>
      <c r="M56" t="s">
        <v>259</v>
      </c>
      <c r="N56" t="s">
        <v>254</v>
      </c>
      <c r="O56" t="s">
        <v>253</v>
      </c>
      <c r="P56" t="s">
        <v>267</v>
      </c>
      <c r="Q56" t="s">
        <v>260</v>
      </c>
      <c r="R56" t="s">
        <v>270</v>
      </c>
      <c r="S56" t="s">
        <v>265</v>
      </c>
      <c r="T56" t="s">
        <v>257</v>
      </c>
      <c r="U56" t="s">
        <v>271</v>
      </c>
      <c r="V56" t="s">
        <v>262</v>
      </c>
      <c r="W56" t="s">
        <v>268</v>
      </c>
      <c r="X56" t="s">
        <v>258</v>
      </c>
      <c r="Y56" t="s">
        <v>269</v>
      </c>
    </row>
    <row r="57" spans="1:25" x14ac:dyDescent="0.25">
      <c r="A57" t="s">
        <v>155</v>
      </c>
      <c r="B57" t="s">
        <v>268</v>
      </c>
      <c r="C57" t="s">
        <v>264</v>
      </c>
      <c r="D57" t="s">
        <v>256</v>
      </c>
      <c r="E57" t="s">
        <v>266</v>
      </c>
      <c r="F57" t="s">
        <v>270</v>
      </c>
      <c r="G57" t="s">
        <v>262</v>
      </c>
      <c r="H57" t="s">
        <v>255</v>
      </c>
      <c r="I57" t="s">
        <v>265</v>
      </c>
      <c r="J57" t="s">
        <v>261</v>
      </c>
      <c r="K57" t="s">
        <v>272</v>
      </c>
      <c r="L57" t="s">
        <v>263</v>
      </c>
      <c r="M57" t="s">
        <v>271</v>
      </c>
      <c r="N57" t="s">
        <v>249</v>
      </c>
      <c r="O57" t="s">
        <v>253</v>
      </c>
      <c r="P57" t="s">
        <v>269</v>
      </c>
      <c r="Q57" t="s">
        <v>258</v>
      </c>
      <c r="R57" t="s">
        <v>252</v>
      </c>
      <c r="S57" t="s">
        <v>254</v>
      </c>
      <c r="T57" t="s">
        <v>251</v>
      </c>
      <c r="U57" t="s">
        <v>259</v>
      </c>
      <c r="V57" t="s">
        <v>250</v>
      </c>
      <c r="W57" t="s">
        <v>260</v>
      </c>
      <c r="X57" t="s">
        <v>267</v>
      </c>
      <c r="Y57" t="s">
        <v>257</v>
      </c>
    </row>
    <row r="58" spans="1:25" x14ac:dyDescent="0.25">
      <c r="A58" t="s">
        <v>156</v>
      </c>
      <c r="B58" t="s">
        <v>256</v>
      </c>
      <c r="C58" t="s">
        <v>254</v>
      </c>
      <c r="D58" t="s">
        <v>255</v>
      </c>
      <c r="E58" t="s">
        <v>262</v>
      </c>
      <c r="F58" t="s">
        <v>252</v>
      </c>
      <c r="G58" t="s">
        <v>264</v>
      </c>
      <c r="H58" t="s">
        <v>272</v>
      </c>
      <c r="I58" t="s">
        <v>251</v>
      </c>
      <c r="J58" t="s">
        <v>260</v>
      </c>
      <c r="K58" t="s">
        <v>249</v>
      </c>
      <c r="L58" t="s">
        <v>258</v>
      </c>
      <c r="M58" t="s">
        <v>265</v>
      </c>
      <c r="N58" t="s">
        <v>271</v>
      </c>
      <c r="O58" t="s">
        <v>250</v>
      </c>
      <c r="P58" t="s">
        <v>261</v>
      </c>
      <c r="Q58" t="s">
        <v>266</v>
      </c>
      <c r="R58" t="s">
        <v>257</v>
      </c>
      <c r="S58" t="s">
        <v>270</v>
      </c>
      <c r="T58" t="s">
        <v>267</v>
      </c>
      <c r="U58" t="s">
        <v>269</v>
      </c>
      <c r="V58" t="s">
        <v>259</v>
      </c>
      <c r="W58" t="s">
        <v>263</v>
      </c>
      <c r="X58" t="s">
        <v>268</v>
      </c>
      <c r="Y58" t="s">
        <v>253</v>
      </c>
    </row>
    <row r="59" spans="1:25" x14ac:dyDescent="0.25">
      <c r="A59" t="s">
        <v>157</v>
      </c>
      <c r="B59" t="s">
        <v>269</v>
      </c>
      <c r="C59" t="s">
        <v>250</v>
      </c>
      <c r="D59" t="s">
        <v>261</v>
      </c>
      <c r="E59" t="s">
        <v>271</v>
      </c>
      <c r="F59" t="s">
        <v>252</v>
      </c>
      <c r="G59" t="s">
        <v>256</v>
      </c>
      <c r="H59" t="s">
        <v>254</v>
      </c>
      <c r="I59" t="s">
        <v>258</v>
      </c>
      <c r="J59" t="s">
        <v>262</v>
      </c>
      <c r="K59" t="s">
        <v>259</v>
      </c>
      <c r="L59" t="s">
        <v>263</v>
      </c>
      <c r="M59" t="s">
        <v>264</v>
      </c>
      <c r="N59" t="s">
        <v>268</v>
      </c>
      <c r="O59" t="s">
        <v>249</v>
      </c>
      <c r="P59" t="s">
        <v>251</v>
      </c>
      <c r="Q59" t="s">
        <v>266</v>
      </c>
      <c r="R59" t="s">
        <v>255</v>
      </c>
      <c r="S59" t="s">
        <v>253</v>
      </c>
      <c r="T59" t="s">
        <v>270</v>
      </c>
      <c r="U59" t="s">
        <v>267</v>
      </c>
      <c r="V59" t="s">
        <v>265</v>
      </c>
      <c r="W59" t="s">
        <v>260</v>
      </c>
      <c r="X59" t="s">
        <v>257</v>
      </c>
      <c r="Y59" t="s">
        <v>272</v>
      </c>
    </row>
    <row r="60" spans="1:25" x14ac:dyDescent="0.25">
      <c r="A60" t="s">
        <v>158</v>
      </c>
      <c r="B60" t="s">
        <v>271</v>
      </c>
      <c r="C60" t="s">
        <v>259</v>
      </c>
      <c r="D60" t="s">
        <v>253</v>
      </c>
      <c r="E60" t="s">
        <v>260</v>
      </c>
      <c r="F60" t="s">
        <v>258</v>
      </c>
      <c r="G60" t="s">
        <v>272</v>
      </c>
      <c r="H60" t="s">
        <v>264</v>
      </c>
      <c r="I60" t="s">
        <v>256</v>
      </c>
      <c r="J60" t="s">
        <v>257</v>
      </c>
      <c r="K60" t="s">
        <v>251</v>
      </c>
      <c r="L60" t="s">
        <v>263</v>
      </c>
      <c r="M60" t="s">
        <v>249</v>
      </c>
      <c r="N60" t="s">
        <v>268</v>
      </c>
      <c r="O60" t="s">
        <v>269</v>
      </c>
      <c r="P60" t="s">
        <v>254</v>
      </c>
      <c r="Q60" t="s">
        <v>267</v>
      </c>
      <c r="R60" t="s">
        <v>270</v>
      </c>
      <c r="S60" t="s">
        <v>252</v>
      </c>
      <c r="T60" t="s">
        <v>261</v>
      </c>
      <c r="U60" t="s">
        <v>265</v>
      </c>
      <c r="V60" t="s">
        <v>266</v>
      </c>
      <c r="W60" t="s">
        <v>255</v>
      </c>
      <c r="X60" t="s">
        <v>262</v>
      </c>
      <c r="Y60" t="s">
        <v>250</v>
      </c>
    </row>
    <row r="61" spans="1:25" x14ac:dyDescent="0.25">
      <c r="A61" t="s">
        <v>159</v>
      </c>
      <c r="B61" t="s">
        <v>251</v>
      </c>
      <c r="C61" t="s">
        <v>271</v>
      </c>
      <c r="D61" t="s">
        <v>262</v>
      </c>
      <c r="E61" t="s">
        <v>260</v>
      </c>
      <c r="F61" t="s">
        <v>272</v>
      </c>
      <c r="G61" t="s">
        <v>264</v>
      </c>
      <c r="H61" t="s">
        <v>269</v>
      </c>
      <c r="I61" t="s">
        <v>253</v>
      </c>
      <c r="J61" t="s">
        <v>252</v>
      </c>
      <c r="K61" t="s">
        <v>268</v>
      </c>
      <c r="L61" t="s">
        <v>266</v>
      </c>
      <c r="M61" t="s">
        <v>254</v>
      </c>
      <c r="N61" t="s">
        <v>270</v>
      </c>
      <c r="O61" t="s">
        <v>259</v>
      </c>
      <c r="P61" t="s">
        <v>256</v>
      </c>
      <c r="Q61" t="s">
        <v>255</v>
      </c>
      <c r="R61" t="s">
        <v>250</v>
      </c>
      <c r="S61" t="s">
        <v>263</v>
      </c>
      <c r="T61" t="s">
        <v>265</v>
      </c>
      <c r="U61" t="s">
        <v>261</v>
      </c>
      <c r="V61" t="s">
        <v>249</v>
      </c>
      <c r="W61" t="s">
        <v>258</v>
      </c>
      <c r="X61" t="s">
        <v>257</v>
      </c>
      <c r="Y61" t="s">
        <v>267</v>
      </c>
    </row>
    <row r="62" spans="1:25" x14ac:dyDescent="0.25">
      <c r="A62" t="s">
        <v>160</v>
      </c>
      <c r="B62" t="s">
        <v>263</v>
      </c>
      <c r="C62" t="s">
        <v>259</v>
      </c>
      <c r="D62" t="s">
        <v>260</v>
      </c>
      <c r="E62" t="s">
        <v>268</v>
      </c>
      <c r="F62" t="s">
        <v>267</v>
      </c>
      <c r="G62" t="s">
        <v>255</v>
      </c>
      <c r="H62" t="s">
        <v>266</v>
      </c>
      <c r="I62" t="s">
        <v>250</v>
      </c>
      <c r="J62" t="s">
        <v>261</v>
      </c>
      <c r="K62" t="s">
        <v>256</v>
      </c>
      <c r="L62" t="s">
        <v>251</v>
      </c>
      <c r="M62" t="s">
        <v>270</v>
      </c>
      <c r="N62" t="s">
        <v>249</v>
      </c>
      <c r="O62" t="s">
        <v>262</v>
      </c>
      <c r="P62" t="s">
        <v>257</v>
      </c>
      <c r="Q62" t="s">
        <v>265</v>
      </c>
      <c r="R62" t="s">
        <v>254</v>
      </c>
      <c r="S62" t="s">
        <v>272</v>
      </c>
      <c r="T62" t="s">
        <v>252</v>
      </c>
      <c r="U62" t="s">
        <v>258</v>
      </c>
      <c r="V62" t="s">
        <v>264</v>
      </c>
      <c r="W62" t="s">
        <v>271</v>
      </c>
      <c r="X62" t="s">
        <v>253</v>
      </c>
      <c r="Y62" t="s">
        <v>269</v>
      </c>
    </row>
    <row r="63" spans="1:25" x14ac:dyDescent="0.25">
      <c r="A63" t="s">
        <v>161</v>
      </c>
      <c r="B63" t="s">
        <v>268</v>
      </c>
      <c r="C63" t="s">
        <v>262</v>
      </c>
      <c r="D63" t="s">
        <v>252</v>
      </c>
      <c r="E63" t="s">
        <v>272</v>
      </c>
      <c r="F63" t="s">
        <v>258</v>
      </c>
      <c r="G63" t="s">
        <v>257</v>
      </c>
      <c r="H63" t="s">
        <v>256</v>
      </c>
      <c r="I63" t="s">
        <v>253</v>
      </c>
      <c r="J63" t="s">
        <v>250</v>
      </c>
      <c r="K63" t="s">
        <v>263</v>
      </c>
      <c r="L63" t="s">
        <v>269</v>
      </c>
      <c r="M63" t="s">
        <v>270</v>
      </c>
      <c r="N63" t="s">
        <v>267</v>
      </c>
      <c r="O63" t="s">
        <v>249</v>
      </c>
      <c r="P63" t="s">
        <v>271</v>
      </c>
      <c r="Q63" t="s">
        <v>255</v>
      </c>
      <c r="R63" t="s">
        <v>266</v>
      </c>
      <c r="S63" t="s">
        <v>265</v>
      </c>
      <c r="T63" t="s">
        <v>259</v>
      </c>
      <c r="U63" t="s">
        <v>251</v>
      </c>
      <c r="V63" t="s">
        <v>261</v>
      </c>
      <c r="W63" t="s">
        <v>264</v>
      </c>
      <c r="X63" t="s">
        <v>260</v>
      </c>
      <c r="Y63" t="s">
        <v>254</v>
      </c>
    </row>
    <row r="64" spans="1:25" x14ac:dyDescent="0.25">
      <c r="A64" t="s">
        <v>162</v>
      </c>
      <c r="B64" t="s">
        <v>262</v>
      </c>
      <c r="C64" t="s">
        <v>268</v>
      </c>
      <c r="D64" t="s">
        <v>265</v>
      </c>
      <c r="E64" t="s">
        <v>260</v>
      </c>
      <c r="F64" t="s">
        <v>261</v>
      </c>
      <c r="G64" t="s">
        <v>249</v>
      </c>
      <c r="H64" t="s">
        <v>255</v>
      </c>
      <c r="I64" t="s">
        <v>251</v>
      </c>
      <c r="J64" t="s">
        <v>269</v>
      </c>
      <c r="K64" t="s">
        <v>259</v>
      </c>
      <c r="L64" t="s">
        <v>256</v>
      </c>
      <c r="M64" t="s">
        <v>263</v>
      </c>
      <c r="N64" t="s">
        <v>252</v>
      </c>
      <c r="O64" t="s">
        <v>271</v>
      </c>
      <c r="P64" t="s">
        <v>267</v>
      </c>
      <c r="Q64" t="s">
        <v>250</v>
      </c>
      <c r="R64" t="s">
        <v>257</v>
      </c>
      <c r="S64" t="s">
        <v>264</v>
      </c>
      <c r="T64" t="s">
        <v>254</v>
      </c>
      <c r="U64" t="s">
        <v>270</v>
      </c>
      <c r="V64" t="s">
        <v>272</v>
      </c>
      <c r="W64" t="s">
        <v>258</v>
      </c>
      <c r="X64" t="s">
        <v>253</v>
      </c>
      <c r="Y64" t="s">
        <v>266</v>
      </c>
    </row>
    <row r="65" spans="1:25" x14ac:dyDescent="0.25">
      <c r="A65" t="s">
        <v>163</v>
      </c>
      <c r="B65" t="s">
        <v>254</v>
      </c>
      <c r="C65" t="s">
        <v>252</v>
      </c>
      <c r="D65" t="s">
        <v>253</v>
      </c>
      <c r="E65" t="s">
        <v>267</v>
      </c>
      <c r="F65" t="s">
        <v>250</v>
      </c>
      <c r="G65" t="s">
        <v>255</v>
      </c>
      <c r="H65" t="s">
        <v>251</v>
      </c>
      <c r="I65" t="s">
        <v>272</v>
      </c>
      <c r="J65" t="s">
        <v>265</v>
      </c>
      <c r="K65" t="s">
        <v>264</v>
      </c>
      <c r="L65" t="s">
        <v>249</v>
      </c>
      <c r="M65" t="s">
        <v>266</v>
      </c>
      <c r="N65" t="s">
        <v>260</v>
      </c>
      <c r="O65" t="s">
        <v>270</v>
      </c>
      <c r="P65" t="s">
        <v>269</v>
      </c>
      <c r="Q65" t="s">
        <v>257</v>
      </c>
      <c r="R65" t="s">
        <v>262</v>
      </c>
      <c r="S65" t="s">
        <v>263</v>
      </c>
      <c r="T65" t="s">
        <v>261</v>
      </c>
      <c r="U65" t="s">
        <v>271</v>
      </c>
      <c r="V65" t="s">
        <v>256</v>
      </c>
      <c r="W65" t="s">
        <v>259</v>
      </c>
      <c r="X65" t="s">
        <v>268</v>
      </c>
      <c r="Y65" t="s">
        <v>258</v>
      </c>
    </row>
    <row r="66" spans="1:25" x14ac:dyDescent="0.25">
      <c r="A66" t="s">
        <v>164</v>
      </c>
      <c r="B66" t="s">
        <v>250</v>
      </c>
      <c r="C66" t="s">
        <v>262</v>
      </c>
      <c r="D66" t="s">
        <v>257</v>
      </c>
      <c r="E66" t="s">
        <v>269</v>
      </c>
      <c r="F66" t="s">
        <v>259</v>
      </c>
      <c r="G66" t="s">
        <v>268</v>
      </c>
      <c r="H66" t="s">
        <v>264</v>
      </c>
      <c r="I66" t="s">
        <v>271</v>
      </c>
      <c r="J66" t="s">
        <v>258</v>
      </c>
      <c r="K66" t="s">
        <v>270</v>
      </c>
      <c r="L66" t="s">
        <v>251</v>
      </c>
      <c r="M66" t="s">
        <v>249</v>
      </c>
      <c r="N66" t="s">
        <v>260</v>
      </c>
      <c r="O66" t="s">
        <v>261</v>
      </c>
      <c r="P66" t="s">
        <v>266</v>
      </c>
      <c r="Q66" t="s">
        <v>254</v>
      </c>
      <c r="R66" t="s">
        <v>253</v>
      </c>
      <c r="S66" t="s">
        <v>267</v>
      </c>
      <c r="T66" t="s">
        <v>272</v>
      </c>
      <c r="U66" t="s">
        <v>263</v>
      </c>
      <c r="V66" t="s">
        <v>256</v>
      </c>
      <c r="W66" t="s">
        <v>252</v>
      </c>
      <c r="X66" t="s">
        <v>265</v>
      </c>
      <c r="Y66" t="s">
        <v>255</v>
      </c>
    </row>
    <row r="67" spans="1:25" x14ac:dyDescent="0.25">
      <c r="A67" t="s">
        <v>165</v>
      </c>
      <c r="B67" t="s">
        <v>267</v>
      </c>
      <c r="C67" t="s">
        <v>256</v>
      </c>
      <c r="D67" t="s">
        <v>264</v>
      </c>
      <c r="E67" t="s">
        <v>258</v>
      </c>
      <c r="F67" t="s">
        <v>259</v>
      </c>
      <c r="G67" t="s">
        <v>254</v>
      </c>
      <c r="H67" t="s">
        <v>253</v>
      </c>
      <c r="I67" t="s">
        <v>260</v>
      </c>
      <c r="J67" t="s">
        <v>255</v>
      </c>
      <c r="K67" t="s">
        <v>252</v>
      </c>
      <c r="L67" t="s">
        <v>249</v>
      </c>
      <c r="M67" t="s">
        <v>266</v>
      </c>
      <c r="N67" t="s">
        <v>261</v>
      </c>
      <c r="O67" t="s">
        <v>268</v>
      </c>
      <c r="P67" t="s">
        <v>271</v>
      </c>
      <c r="Q67" t="s">
        <v>257</v>
      </c>
      <c r="R67" t="s">
        <v>263</v>
      </c>
      <c r="S67" t="s">
        <v>262</v>
      </c>
      <c r="T67" t="s">
        <v>251</v>
      </c>
      <c r="U67" t="s">
        <v>272</v>
      </c>
      <c r="V67" t="s">
        <v>269</v>
      </c>
      <c r="W67" t="s">
        <v>270</v>
      </c>
      <c r="X67" t="s">
        <v>265</v>
      </c>
      <c r="Y67" t="s">
        <v>250</v>
      </c>
    </row>
    <row r="68" spans="1:25" x14ac:dyDescent="0.25">
      <c r="A68" t="s">
        <v>166</v>
      </c>
      <c r="B68" t="s">
        <v>267</v>
      </c>
      <c r="C68" t="s">
        <v>271</v>
      </c>
      <c r="D68" t="s">
        <v>260</v>
      </c>
      <c r="E68" t="s">
        <v>255</v>
      </c>
      <c r="F68" t="s">
        <v>266</v>
      </c>
      <c r="G68" t="s">
        <v>257</v>
      </c>
      <c r="H68" t="s">
        <v>254</v>
      </c>
      <c r="I68" t="s">
        <v>268</v>
      </c>
      <c r="J68" t="s">
        <v>256</v>
      </c>
      <c r="K68" t="s">
        <v>251</v>
      </c>
      <c r="L68" t="s">
        <v>249</v>
      </c>
      <c r="M68" t="s">
        <v>258</v>
      </c>
      <c r="N68" t="s">
        <v>270</v>
      </c>
      <c r="O68" t="s">
        <v>252</v>
      </c>
      <c r="P68" t="s">
        <v>269</v>
      </c>
      <c r="Q68" t="s">
        <v>263</v>
      </c>
      <c r="R68" t="s">
        <v>262</v>
      </c>
      <c r="S68" t="s">
        <v>250</v>
      </c>
      <c r="T68" t="s">
        <v>264</v>
      </c>
      <c r="U68" t="s">
        <v>261</v>
      </c>
      <c r="V68" t="s">
        <v>265</v>
      </c>
      <c r="W68" t="s">
        <v>259</v>
      </c>
      <c r="X68" t="s">
        <v>253</v>
      </c>
      <c r="Y68" t="s">
        <v>272</v>
      </c>
    </row>
    <row r="69" spans="1:25" x14ac:dyDescent="0.25">
      <c r="A69" t="s">
        <v>167</v>
      </c>
      <c r="B69" t="s">
        <v>272</v>
      </c>
      <c r="C69" t="s">
        <v>251</v>
      </c>
      <c r="D69" t="s">
        <v>253</v>
      </c>
      <c r="E69" t="s">
        <v>267</v>
      </c>
      <c r="F69" t="s">
        <v>270</v>
      </c>
      <c r="G69" t="s">
        <v>266</v>
      </c>
      <c r="H69" t="s">
        <v>255</v>
      </c>
      <c r="I69" t="s">
        <v>263</v>
      </c>
      <c r="J69" t="s">
        <v>269</v>
      </c>
      <c r="K69" t="s">
        <v>254</v>
      </c>
      <c r="L69" t="s">
        <v>262</v>
      </c>
      <c r="M69" t="s">
        <v>260</v>
      </c>
      <c r="N69" t="s">
        <v>256</v>
      </c>
      <c r="O69" t="s">
        <v>271</v>
      </c>
      <c r="P69" t="s">
        <v>268</v>
      </c>
      <c r="Q69" t="s">
        <v>257</v>
      </c>
      <c r="R69" t="s">
        <v>252</v>
      </c>
      <c r="S69" t="s">
        <v>259</v>
      </c>
      <c r="T69" t="s">
        <v>265</v>
      </c>
      <c r="U69" t="s">
        <v>249</v>
      </c>
      <c r="V69" t="s">
        <v>250</v>
      </c>
      <c r="W69" t="s">
        <v>261</v>
      </c>
      <c r="X69" t="s">
        <v>258</v>
      </c>
      <c r="Y69" t="s">
        <v>264</v>
      </c>
    </row>
    <row r="70" spans="1:25" x14ac:dyDescent="0.25">
      <c r="A70" t="s">
        <v>168</v>
      </c>
      <c r="B70" t="s">
        <v>263</v>
      </c>
      <c r="C70" t="s">
        <v>253</v>
      </c>
      <c r="D70" t="s">
        <v>264</v>
      </c>
      <c r="E70" t="s">
        <v>271</v>
      </c>
      <c r="F70" t="s">
        <v>256</v>
      </c>
      <c r="G70" t="s">
        <v>262</v>
      </c>
      <c r="H70" t="s">
        <v>260</v>
      </c>
      <c r="I70" t="s">
        <v>249</v>
      </c>
      <c r="J70" t="s">
        <v>255</v>
      </c>
      <c r="K70" t="s">
        <v>268</v>
      </c>
      <c r="L70" t="s">
        <v>272</v>
      </c>
      <c r="M70" t="s">
        <v>257</v>
      </c>
      <c r="N70" t="s">
        <v>267</v>
      </c>
      <c r="O70" t="s">
        <v>269</v>
      </c>
      <c r="P70" t="s">
        <v>258</v>
      </c>
      <c r="Q70" t="s">
        <v>259</v>
      </c>
      <c r="R70" t="s">
        <v>252</v>
      </c>
      <c r="S70" t="s">
        <v>266</v>
      </c>
      <c r="T70" t="s">
        <v>261</v>
      </c>
      <c r="U70" t="s">
        <v>250</v>
      </c>
      <c r="V70" t="s">
        <v>254</v>
      </c>
      <c r="W70" t="s">
        <v>265</v>
      </c>
      <c r="X70" t="s">
        <v>251</v>
      </c>
      <c r="Y70" t="s">
        <v>270</v>
      </c>
    </row>
    <row r="71" spans="1:25" x14ac:dyDescent="0.25">
      <c r="A71" t="s">
        <v>169</v>
      </c>
      <c r="B71" t="s">
        <v>265</v>
      </c>
      <c r="C71" t="s">
        <v>250</v>
      </c>
      <c r="D71" t="s">
        <v>268</v>
      </c>
      <c r="E71" t="s">
        <v>249</v>
      </c>
      <c r="F71" t="s">
        <v>255</v>
      </c>
      <c r="G71" t="s">
        <v>269</v>
      </c>
      <c r="H71" t="s">
        <v>254</v>
      </c>
      <c r="I71" t="s">
        <v>262</v>
      </c>
      <c r="J71" t="s">
        <v>264</v>
      </c>
      <c r="K71" t="s">
        <v>263</v>
      </c>
      <c r="L71" t="s">
        <v>272</v>
      </c>
      <c r="M71" t="s">
        <v>252</v>
      </c>
      <c r="N71" t="s">
        <v>266</v>
      </c>
      <c r="O71" t="s">
        <v>258</v>
      </c>
      <c r="P71" t="s">
        <v>253</v>
      </c>
      <c r="Q71" t="s">
        <v>271</v>
      </c>
      <c r="R71" t="s">
        <v>270</v>
      </c>
      <c r="S71" t="s">
        <v>261</v>
      </c>
      <c r="T71" t="s">
        <v>259</v>
      </c>
      <c r="U71" t="s">
        <v>267</v>
      </c>
      <c r="V71" t="s">
        <v>257</v>
      </c>
      <c r="W71" t="s">
        <v>256</v>
      </c>
      <c r="X71" t="s">
        <v>260</v>
      </c>
      <c r="Y71" t="s">
        <v>251</v>
      </c>
    </row>
    <row r="72" spans="1:25" x14ac:dyDescent="0.25">
      <c r="A72" t="s">
        <v>170</v>
      </c>
      <c r="B72" t="s">
        <v>253</v>
      </c>
      <c r="C72" t="s">
        <v>250</v>
      </c>
      <c r="D72" t="s">
        <v>261</v>
      </c>
      <c r="E72" t="s">
        <v>254</v>
      </c>
      <c r="F72" t="s">
        <v>268</v>
      </c>
      <c r="G72" t="s">
        <v>262</v>
      </c>
      <c r="H72" t="s">
        <v>256</v>
      </c>
      <c r="I72" t="s">
        <v>267</v>
      </c>
      <c r="J72" t="s">
        <v>259</v>
      </c>
      <c r="K72" t="s">
        <v>265</v>
      </c>
      <c r="L72" t="s">
        <v>271</v>
      </c>
      <c r="M72" t="s">
        <v>252</v>
      </c>
      <c r="N72" t="s">
        <v>260</v>
      </c>
      <c r="O72" t="s">
        <v>270</v>
      </c>
      <c r="P72" t="s">
        <v>266</v>
      </c>
      <c r="Q72" t="s">
        <v>251</v>
      </c>
      <c r="R72" t="s">
        <v>272</v>
      </c>
      <c r="S72" t="s">
        <v>255</v>
      </c>
      <c r="T72" t="s">
        <v>264</v>
      </c>
      <c r="U72" t="s">
        <v>258</v>
      </c>
      <c r="V72" t="s">
        <v>257</v>
      </c>
      <c r="W72" t="s">
        <v>249</v>
      </c>
      <c r="X72" t="s">
        <v>263</v>
      </c>
      <c r="Y72" t="s">
        <v>269</v>
      </c>
    </row>
    <row r="73" spans="1:25" x14ac:dyDescent="0.25">
      <c r="A73" t="s">
        <v>171</v>
      </c>
      <c r="B73" t="s">
        <v>253</v>
      </c>
      <c r="C73" t="s">
        <v>262</v>
      </c>
      <c r="D73" t="s">
        <v>260</v>
      </c>
      <c r="E73" t="s">
        <v>267</v>
      </c>
      <c r="F73" t="s">
        <v>250</v>
      </c>
      <c r="G73" t="s">
        <v>269</v>
      </c>
      <c r="H73" t="s">
        <v>264</v>
      </c>
      <c r="I73" t="s">
        <v>263</v>
      </c>
      <c r="J73" t="s">
        <v>257</v>
      </c>
      <c r="K73" t="s">
        <v>258</v>
      </c>
      <c r="L73" t="s">
        <v>272</v>
      </c>
      <c r="M73" t="s">
        <v>261</v>
      </c>
      <c r="N73" t="s">
        <v>256</v>
      </c>
      <c r="O73" t="s">
        <v>271</v>
      </c>
      <c r="P73" t="s">
        <v>270</v>
      </c>
      <c r="Q73" t="s">
        <v>249</v>
      </c>
      <c r="R73" t="s">
        <v>268</v>
      </c>
      <c r="S73" t="s">
        <v>251</v>
      </c>
      <c r="T73" t="s">
        <v>259</v>
      </c>
      <c r="U73" t="s">
        <v>265</v>
      </c>
      <c r="V73" t="s">
        <v>252</v>
      </c>
      <c r="W73" t="s">
        <v>254</v>
      </c>
      <c r="X73" t="s">
        <v>266</v>
      </c>
      <c r="Y73" t="s">
        <v>255</v>
      </c>
    </row>
    <row r="74" spans="1:25" x14ac:dyDescent="0.25">
      <c r="A74" t="s">
        <v>172</v>
      </c>
      <c r="B74" t="s">
        <v>255</v>
      </c>
      <c r="C74" t="s">
        <v>252</v>
      </c>
      <c r="D74" t="s">
        <v>265</v>
      </c>
      <c r="E74" t="s">
        <v>266</v>
      </c>
      <c r="F74" t="s">
        <v>264</v>
      </c>
      <c r="G74" t="s">
        <v>256</v>
      </c>
      <c r="H74" t="s">
        <v>271</v>
      </c>
      <c r="I74" t="s">
        <v>262</v>
      </c>
      <c r="J74" t="s">
        <v>272</v>
      </c>
      <c r="K74" t="s">
        <v>268</v>
      </c>
      <c r="L74" t="s">
        <v>249</v>
      </c>
      <c r="M74" t="s">
        <v>260</v>
      </c>
      <c r="N74" t="s">
        <v>250</v>
      </c>
      <c r="O74" t="s">
        <v>267</v>
      </c>
      <c r="P74" t="s">
        <v>259</v>
      </c>
      <c r="Q74" t="s">
        <v>253</v>
      </c>
      <c r="R74" t="s">
        <v>269</v>
      </c>
      <c r="S74" t="s">
        <v>258</v>
      </c>
      <c r="T74" t="s">
        <v>261</v>
      </c>
      <c r="U74" t="s">
        <v>270</v>
      </c>
      <c r="V74" t="s">
        <v>251</v>
      </c>
      <c r="W74" t="s">
        <v>263</v>
      </c>
      <c r="X74" t="s">
        <v>257</v>
      </c>
      <c r="Y74" t="s">
        <v>254</v>
      </c>
    </row>
    <row r="75" spans="1:25" x14ac:dyDescent="0.25">
      <c r="A75" t="s">
        <v>173</v>
      </c>
      <c r="B75" t="s">
        <v>272</v>
      </c>
      <c r="C75" t="s">
        <v>262</v>
      </c>
      <c r="D75" t="s">
        <v>258</v>
      </c>
      <c r="E75" t="s">
        <v>252</v>
      </c>
      <c r="F75" t="s">
        <v>266</v>
      </c>
      <c r="G75" t="s">
        <v>256</v>
      </c>
      <c r="H75" t="s">
        <v>249</v>
      </c>
      <c r="I75" t="s">
        <v>259</v>
      </c>
      <c r="J75" t="s">
        <v>268</v>
      </c>
      <c r="K75" t="s">
        <v>271</v>
      </c>
      <c r="L75" t="s">
        <v>265</v>
      </c>
      <c r="M75" t="s">
        <v>253</v>
      </c>
      <c r="N75" t="s">
        <v>254</v>
      </c>
      <c r="O75" t="s">
        <v>269</v>
      </c>
      <c r="P75" t="s">
        <v>257</v>
      </c>
      <c r="Q75" t="s">
        <v>264</v>
      </c>
      <c r="R75" t="s">
        <v>260</v>
      </c>
      <c r="S75" t="s">
        <v>261</v>
      </c>
      <c r="T75" t="s">
        <v>267</v>
      </c>
      <c r="U75" t="s">
        <v>255</v>
      </c>
      <c r="V75" t="s">
        <v>263</v>
      </c>
      <c r="W75" t="s">
        <v>270</v>
      </c>
      <c r="X75" t="s">
        <v>250</v>
      </c>
      <c r="Y75" t="s">
        <v>251</v>
      </c>
    </row>
    <row r="76" spans="1:25" x14ac:dyDescent="0.25">
      <c r="A76" t="s">
        <v>174</v>
      </c>
      <c r="B76" t="s">
        <v>270</v>
      </c>
      <c r="C76" t="s">
        <v>251</v>
      </c>
      <c r="D76" t="s">
        <v>266</v>
      </c>
      <c r="E76" t="s">
        <v>256</v>
      </c>
      <c r="F76" t="s">
        <v>272</v>
      </c>
      <c r="G76" t="s">
        <v>262</v>
      </c>
      <c r="H76" t="s">
        <v>253</v>
      </c>
      <c r="I76" t="s">
        <v>254</v>
      </c>
      <c r="J76" t="s">
        <v>267</v>
      </c>
      <c r="K76" t="s">
        <v>271</v>
      </c>
      <c r="L76" t="s">
        <v>252</v>
      </c>
      <c r="M76" t="s">
        <v>259</v>
      </c>
      <c r="N76" t="s">
        <v>263</v>
      </c>
      <c r="O76" t="s">
        <v>260</v>
      </c>
      <c r="P76" t="s">
        <v>255</v>
      </c>
      <c r="Q76" t="s">
        <v>264</v>
      </c>
      <c r="R76" t="s">
        <v>257</v>
      </c>
      <c r="S76" t="s">
        <v>261</v>
      </c>
      <c r="T76" t="s">
        <v>249</v>
      </c>
      <c r="U76" t="s">
        <v>268</v>
      </c>
      <c r="V76" t="s">
        <v>258</v>
      </c>
      <c r="W76" t="s">
        <v>265</v>
      </c>
      <c r="X76" t="s">
        <v>269</v>
      </c>
      <c r="Y76" t="s">
        <v>250</v>
      </c>
    </row>
    <row r="77" spans="1:25" x14ac:dyDescent="0.25">
      <c r="A77" t="s">
        <v>175</v>
      </c>
      <c r="B77" t="s">
        <v>263</v>
      </c>
      <c r="C77" t="s">
        <v>261</v>
      </c>
      <c r="D77" t="s">
        <v>257</v>
      </c>
      <c r="E77" t="s">
        <v>264</v>
      </c>
      <c r="F77" t="s">
        <v>272</v>
      </c>
      <c r="G77" t="s">
        <v>256</v>
      </c>
      <c r="H77" t="s">
        <v>268</v>
      </c>
      <c r="I77" t="s">
        <v>249</v>
      </c>
      <c r="J77" t="s">
        <v>265</v>
      </c>
      <c r="K77" t="s">
        <v>252</v>
      </c>
      <c r="L77" t="s">
        <v>253</v>
      </c>
      <c r="M77" t="s">
        <v>270</v>
      </c>
      <c r="N77" t="s">
        <v>258</v>
      </c>
      <c r="O77" t="s">
        <v>260</v>
      </c>
      <c r="P77" t="s">
        <v>259</v>
      </c>
      <c r="Q77" t="s">
        <v>254</v>
      </c>
      <c r="R77" t="s">
        <v>255</v>
      </c>
      <c r="S77" t="s">
        <v>266</v>
      </c>
      <c r="T77" t="s">
        <v>271</v>
      </c>
      <c r="U77" t="s">
        <v>251</v>
      </c>
      <c r="V77" t="s">
        <v>262</v>
      </c>
      <c r="W77" t="s">
        <v>250</v>
      </c>
      <c r="X77" t="s">
        <v>267</v>
      </c>
      <c r="Y77" t="s">
        <v>269</v>
      </c>
    </row>
    <row r="78" spans="1:25" x14ac:dyDescent="0.25">
      <c r="A78" t="s">
        <v>176</v>
      </c>
      <c r="B78" t="s">
        <v>258</v>
      </c>
      <c r="C78" t="s">
        <v>254</v>
      </c>
      <c r="D78" t="s">
        <v>263</v>
      </c>
      <c r="E78" t="s">
        <v>265</v>
      </c>
      <c r="F78" t="s">
        <v>264</v>
      </c>
      <c r="G78" t="s">
        <v>255</v>
      </c>
      <c r="H78" t="s">
        <v>256</v>
      </c>
      <c r="I78" t="s">
        <v>268</v>
      </c>
      <c r="J78" t="s">
        <v>249</v>
      </c>
      <c r="K78" t="s">
        <v>272</v>
      </c>
      <c r="L78" t="s">
        <v>269</v>
      </c>
      <c r="M78" t="s">
        <v>260</v>
      </c>
      <c r="N78" t="s">
        <v>251</v>
      </c>
      <c r="O78" t="s">
        <v>259</v>
      </c>
      <c r="P78" t="s">
        <v>270</v>
      </c>
      <c r="Q78" t="s">
        <v>271</v>
      </c>
      <c r="R78" t="s">
        <v>266</v>
      </c>
      <c r="S78" t="s">
        <v>261</v>
      </c>
      <c r="T78" t="s">
        <v>257</v>
      </c>
      <c r="U78" t="s">
        <v>253</v>
      </c>
      <c r="V78" t="s">
        <v>252</v>
      </c>
      <c r="W78" t="s">
        <v>267</v>
      </c>
      <c r="X78" t="s">
        <v>262</v>
      </c>
      <c r="Y78" t="s">
        <v>250</v>
      </c>
    </row>
    <row r="79" spans="1:25" x14ac:dyDescent="0.25">
      <c r="A79" t="s">
        <v>177</v>
      </c>
      <c r="B79" t="s">
        <v>252</v>
      </c>
      <c r="C79" t="s">
        <v>259</v>
      </c>
      <c r="D79" t="s">
        <v>253</v>
      </c>
      <c r="E79" t="s">
        <v>260</v>
      </c>
      <c r="F79" t="s">
        <v>250</v>
      </c>
      <c r="G79" t="s">
        <v>271</v>
      </c>
      <c r="H79" t="s">
        <v>249</v>
      </c>
      <c r="I79" t="s">
        <v>263</v>
      </c>
      <c r="J79" t="s">
        <v>270</v>
      </c>
      <c r="K79" t="s">
        <v>255</v>
      </c>
      <c r="L79" t="s">
        <v>266</v>
      </c>
      <c r="M79" t="s">
        <v>265</v>
      </c>
      <c r="N79" t="s">
        <v>272</v>
      </c>
      <c r="O79" t="s">
        <v>264</v>
      </c>
      <c r="P79" t="s">
        <v>268</v>
      </c>
      <c r="Q79" t="s">
        <v>256</v>
      </c>
      <c r="R79" t="s">
        <v>267</v>
      </c>
      <c r="S79" t="s">
        <v>261</v>
      </c>
      <c r="T79" t="s">
        <v>269</v>
      </c>
      <c r="U79" t="s">
        <v>251</v>
      </c>
      <c r="V79" t="s">
        <v>254</v>
      </c>
      <c r="W79" t="s">
        <v>258</v>
      </c>
      <c r="X79" t="s">
        <v>262</v>
      </c>
      <c r="Y79" t="s">
        <v>257</v>
      </c>
    </row>
    <row r="80" spans="1:25" x14ac:dyDescent="0.25">
      <c r="A80" t="s">
        <v>178</v>
      </c>
      <c r="B80" t="s">
        <v>259</v>
      </c>
      <c r="C80" t="s">
        <v>250</v>
      </c>
      <c r="D80" t="s">
        <v>263</v>
      </c>
      <c r="E80" t="s">
        <v>271</v>
      </c>
      <c r="F80" t="s">
        <v>258</v>
      </c>
      <c r="G80" t="s">
        <v>261</v>
      </c>
      <c r="H80" t="s">
        <v>254</v>
      </c>
      <c r="I80" t="s">
        <v>267</v>
      </c>
      <c r="J80" t="s">
        <v>251</v>
      </c>
      <c r="K80" t="s">
        <v>253</v>
      </c>
      <c r="L80" t="s">
        <v>252</v>
      </c>
      <c r="M80" t="s">
        <v>265</v>
      </c>
      <c r="N80" t="s">
        <v>270</v>
      </c>
      <c r="O80" t="s">
        <v>272</v>
      </c>
      <c r="P80" t="s">
        <v>269</v>
      </c>
      <c r="Q80" t="s">
        <v>260</v>
      </c>
      <c r="R80" t="s">
        <v>264</v>
      </c>
      <c r="S80" t="s">
        <v>256</v>
      </c>
      <c r="T80" t="s">
        <v>262</v>
      </c>
      <c r="U80" t="s">
        <v>266</v>
      </c>
      <c r="V80" t="s">
        <v>268</v>
      </c>
      <c r="W80" t="s">
        <v>257</v>
      </c>
      <c r="X80" t="s">
        <v>255</v>
      </c>
      <c r="Y80" t="s">
        <v>249</v>
      </c>
    </row>
    <row r="81" spans="1:25" x14ac:dyDescent="0.25">
      <c r="A81" t="s">
        <v>179</v>
      </c>
      <c r="B81" t="s">
        <v>261</v>
      </c>
      <c r="C81" t="s">
        <v>266</v>
      </c>
      <c r="D81" t="s">
        <v>249</v>
      </c>
      <c r="E81" t="s">
        <v>257</v>
      </c>
      <c r="F81" t="s">
        <v>260</v>
      </c>
      <c r="G81" t="s">
        <v>252</v>
      </c>
      <c r="H81" t="s">
        <v>253</v>
      </c>
      <c r="I81" t="s">
        <v>251</v>
      </c>
      <c r="J81" t="s">
        <v>268</v>
      </c>
      <c r="K81" t="s">
        <v>262</v>
      </c>
      <c r="L81" t="s">
        <v>269</v>
      </c>
      <c r="M81" t="s">
        <v>272</v>
      </c>
      <c r="N81" t="s">
        <v>271</v>
      </c>
      <c r="O81" t="s">
        <v>270</v>
      </c>
      <c r="P81" t="s">
        <v>264</v>
      </c>
      <c r="Q81" t="s">
        <v>265</v>
      </c>
      <c r="R81" t="s">
        <v>267</v>
      </c>
      <c r="S81" t="s">
        <v>255</v>
      </c>
      <c r="T81" t="s">
        <v>254</v>
      </c>
      <c r="U81" t="s">
        <v>259</v>
      </c>
      <c r="V81" t="s">
        <v>250</v>
      </c>
      <c r="W81" t="s">
        <v>256</v>
      </c>
      <c r="X81" t="s">
        <v>258</v>
      </c>
      <c r="Y81" t="s">
        <v>263</v>
      </c>
    </row>
    <row r="82" spans="1:25" x14ac:dyDescent="0.25">
      <c r="A82" t="s">
        <v>180</v>
      </c>
      <c r="B82" t="s">
        <v>250</v>
      </c>
      <c r="C82" t="s">
        <v>256</v>
      </c>
      <c r="D82" t="s">
        <v>264</v>
      </c>
      <c r="E82" t="s">
        <v>253</v>
      </c>
      <c r="F82" t="s">
        <v>262</v>
      </c>
      <c r="G82" t="s">
        <v>252</v>
      </c>
      <c r="H82" t="s">
        <v>270</v>
      </c>
      <c r="I82" t="s">
        <v>266</v>
      </c>
      <c r="J82" t="s">
        <v>249</v>
      </c>
      <c r="K82" t="s">
        <v>258</v>
      </c>
      <c r="L82" t="s">
        <v>261</v>
      </c>
      <c r="M82" t="s">
        <v>255</v>
      </c>
      <c r="N82" t="s">
        <v>254</v>
      </c>
      <c r="O82" t="s">
        <v>271</v>
      </c>
      <c r="P82" t="s">
        <v>265</v>
      </c>
      <c r="Q82" t="s">
        <v>269</v>
      </c>
      <c r="R82" t="s">
        <v>267</v>
      </c>
      <c r="S82" t="s">
        <v>272</v>
      </c>
      <c r="T82" t="s">
        <v>263</v>
      </c>
      <c r="U82" t="s">
        <v>260</v>
      </c>
      <c r="V82" t="s">
        <v>257</v>
      </c>
      <c r="W82" t="s">
        <v>259</v>
      </c>
      <c r="X82" t="s">
        <v>251</v>
      </c>
      <c r="Y82" t="s">
        <v>268</v>
      </c>
    </row>
    <row r="83" spans="1:25" x14ac:dyDescent="0.25">
      <c r="A83" t="s">
        <v>181</v>
      </c>
      <c r="B83" t="s">
        <v>272</v>
      </c>
      <c r="C83" t="s">
        <v>261</v>
      </c>
      <c r="D83" t="s">
        <v>252</v>
      </c>
      <c r="E83" t="s">
        <v>258</v>
      </c>
      <c r="F83" t="s">
        <v>254</v>
      </c>
      <c r="G83" t="s">
        <v>249</v>
      </c>
      <c r="H83" t="s">
        <v>265</v>
      </c>
      <c r="I83" t="s">
        <v>271</v>
      </c>
      <c r="J83" t="s">
        <v>250</v>
      </c>
      <c r="K83" t="s">
        <v>270</v>
      </c>
      <c r="L83" t="s">
        <v>256</v>
      </c>
      <c r="M83" t="s">
        <v>255</v>
      </c>
      <c r="N83" t="s">
        <v>257</v>
      </c>
      <c r="O83" t="s">
        <v>266</v>
      </c>
      <c r="P83" t="s">
        <v>251</v>
      </c>
      <c r="Q83" t="s">
        <v>253</v>
      </c>
      <c r="R83" t="s">
        <v>264</v>
      </c>
      <c r="S83" t="s">
        <v>259</v>
      </c>
      <c r="T83" t="s">
        <v>262</v>
      </c>
      <c r="U83" t="s">
        <v>269</v>
      </c>
      <c r="V83" t="s">
        <v>267</v>
      </c>
      <c r="W83" t="s">
        <v>263</v>
      </c>
      <c r="X83" t="s">
        <v>268</v>
      </c>
      <c r="Y83" t="s">
        <v>260</v>
      </c>
    </row>
    <row r="84" spans="1:25" x14ac:dyDescent="0.25">
      <c r="A84" t="s">
        <v>182</v>
      </c>
      <c r="B84" t="s">
        <v>258</v>
      </c>
      <c r="C84" t="s">
        <v>250</v>
      </c>
      <c r="D84" t="s">
        <v>257</v>
      </c>
      <c r="E84" t="s">
        <v>263</v>
      </c>
      <c r="F84" t="s">
        <v>260</v>
      </c>
      <c r="G84" t="s">
        <v>256</v>
      </c>
      <c r="H84" t="s">
        <v>267</v>
      </c>
      <c r="I84" t="s">
        <v>265</v>
      </c>
      <c r="J84" t="s">
        <v>269</v>
      </c>
      <c r="K84" t="s">
        <v>255</v>
      </c>
      <c r="L84" t="s">
        <v>261</v>
      </c>
      <c r="M84" t="s">
        <v>254</v>
      </c>
      <c r="N84" t="s">
        <v>270</v>
      </c>
      <c r="O84" t="s">
        <v>252</v>
      </c>
      <c r="P84" t="s">
        <v>253</v>
      </c>
      <c r="Q84" t="s">
        <v>259</v>
      </c>
      <c r="R84" t="s">
        <v>272</v>
      </c>
      <c r="S84" t="s">
        <v>271</v>
      </c>
      <c r="T84" t="s">
        <v>268</v>
      </c>
      <c r="U84" t="s">
        <v>262</v>
      </c>
      <c r="V84" t="s">
        <v>264</v>
      </c>
      <c r="W84" t="s">
        <v>249</v>
      </c>
      <c r="X84" t="s">
        <v>251</v>
      </c>
      <c r="Y84" t="s">
        <v>266</v>
      </c>
    </row>
    <row r="85" spans="1:25" x14ac:dyDescent="0.25">
      <c r="A85" t="s">
        <v>183</v>
      </c>
      <c r="B85" t="s">
        <v>254</v>
      </c>
      <c r="C85" t="s">
        <v>258</v>
      </c>
      <c r="D85" t="s">
        <v>266</v>
      </c>
      <c r="E85" t="s">
        <v>272</v>
      </c>
      <c r="F85" t="s">
        <v>253</v>
      </c>
      <c r="G85" t="s">
        <v>252</v>
      </c>
      <c r="H85" t="s">
        <v>269</v>
      </c>
      <c r="I85" t="s">
        <v>251</v>
      </c>
      <c r="J85" t="s">
        <v>257</v>
      </c>
      <c r="K85" t="s">
        <v>250</v>
      </c>
      <c r="L85" t="s">
        <v>268</v>
      </c>
      <c r="M85" t="s">
        <v>261</v>
      </c>
      <c r="N85" t="s">
        <v>264</v>
      </c>
      <c r="O85" t="s">
        <v>255</v>
      </c>
      <c r="P85" t="s">
        <v>270</v>
      </c>
      <c r="Q85" t="s">
        <v>260</v>
      </c>
      <c r="R85" t="s">
        <v>262</v>
      </c>
      <c r="S85" t="s">
        <v>267</v>
      </c>
      <c r="T85" t="s">
        <v>249</v>
      </c>
      <c r="U85" t="s">
        <v>271</v>
      </c>
      <c r="V85" t="s">
        <v>263</v>
      </c>
      <c r="W85" t="s">
        <v>259</v>
      </c>
      <c r="X85" t="s">
        <v>256</v>
      </c>
      <c r="Y85" t="s">
        <v>265</v>
      </c>
    </row>
    <row r="86" spans="1:25" x14ac:dyDescent="0.25">
      <c r="A86" t="s">
        <v>184</v>
      </c>
      <c r="B86" t="s">
        <v>271</v>
      </c>
      <c r="C86" t="s">
        <v>258</v>
      </c>
      <c r="D86" t="s">
        <v>251</v>
      </c>
      <c r="E86" t="s">
        <v>257</v>
      </c>
      <c r="F86" t="s">
        <v>269</v>
      </c>
      <c r="G86" t="s">
        <v>253</v>
      </c>
      <c r="H86" t="s">
        <v>264</v>
      </c>
      <c r="I86" t="s">
        <v>255</v>
      </c>
      <c r="J86" t="s">
        <v>270</v>
      </c>
      <c r="K86" t="s">
        <v>272</v>
      </c>
      <c r="L86" t="s">
        <v>254</v>
      </c>
      <c r="M86" t="s">
        <v>266</v>
      </c>
      <c r="N86" t="s">
        <v>267</v>
      </c>
      <c r="O86" t="s">
        <v>265</v>
      </c>
      <c r="P86" t="s">
        <v>249</v>
      </c>
      <c r="Q86" t="s">
        <v>263</v>
      </c>
      <c r="R86" t="s">
        <v>250</v>
      </c>
      <c r="S86" t="s">
        <v>268</v>
      </c>
      <c r="T86" t="s">
        <v>260</v>
      </c>
      <c r="U86" t="s">
        <v>262</v>
      </c>
      <c r="V86" t="s">
        <v>261</v>
      </c>
      <c r="W86" t="s">
        <v>259</v>
      </c>
      <c r="X86" t="s">
        <v>256</v>
      </c>
      <c r="Y86" t="s">
        <v>252</v>
      </c>
    </row>
    <row r="87" spans="1:25" x14ac:dyDescent="0.25">
      <c r="A87" t="s">
        <v>185</v>
      </c>
      <c r="B87" t="s">
        <v>272</v>
      </c>
      <c r="C87" t="s">
        <v>252</v>
      </c>
      <c r="D87" t="s">
        <v>262</v>
      </c>
      <c r="E87" t="s">
        <v>251</v>
      </c>
      <c r="F87" t="s">
        <v>256</v>
      </c>
      <c r="G87" t="s">
        <v>249</v>
      </c>
      <c r="H87" t="s">
        <v>267</v>
      </c>
      <c r="I87" t="s">
        <v>257</v>
      </c>
      <c r="J87" t="s">
        <v>271</v>
      </c>
      <c r="K87" t="s">
        <v>259</v>
      </c>
      <c r="L87" t="s">
        <v>269</v>
      </c>
      <c r="M87" t="s">
        <v>268</v>
      </c>
      <c r="N87" t="s">
        <v>250</v>
      </c>
      <c r="O87" t="s">
        <v>265</v>
      </c>
      <c r="P87" t="s">
        <v>264</v>
      </c>
      <c r="Q87" t="s">
        <v>270</v>
      </c>
      <c r="R87" t="s">
        <v>261</v>
      </c>
      <c r="S87" t="s">
        <v>258</v>
      </c>
      <c r="T87" t="s">
        <v>266</v>
      </c>
      <c r="U87" t="s">
        <v>254</v>
      </c>
      <c r="V87" t="s">
        <v>260</v>
      </c>
      <c r="W87" t="s">
        <v>253</v>
      </c>
      <c r="X87" t="s">
        <v>255</v>
      </c>
      <c r="Y87" t="s">
        <v>263</v>
      </c>
    </row>
    <row r="88" spans="1:25" x14ac:dyDescent="0.25">
      <c r="A88" t="s">
        <v>186</v>
      </c>
      <c r="B88" t="s">
        <v>252</v>
      </c>
      <c r="C88" t="s">
        <v>264</v>
      </c>
      <c r="D88" t="s">
        <v>267</v>
      </c>
      <c r="E88" t="s">
        <v>262</v>
      </c>
      <c r="F88" t="s">
        <v>259</v>
      </c>
      <c r="G88" t="s">
        <v>254</v>
      </c>
      <c r="H88" t="s">
        <v>266</v>
      </c>
      <c r="I88" t="s">
        <v>270</v>
      </c>
      <c r="J88" t="s">
        <v>268</v>
      </c>
      <c r="K88" t="s">
        <v>265</v>
      </c>
      <c r="L88" t="s">
        <v>253</v>
      </c>
      <c r="M88" t="s">
        <v>272</v>
      </c>
      <c r="N88" t="s">
        <v>250</v>
      </c>
      <c r="O88" t="s">
        <v>249</v>
      </c>
      <c r="P88" t="s">
        <v>251</v>
      </c>
      <c r="Q88" t="s">
        <v>256</v>
      </c>
      <c r="R88" t="s">
        <v>255</v>
      </c>
      <c r="S88" t="s">
        <v>269</v>
      </c>
      <c r="T88" t="s">
        <v>263</v>
      </c>
      <c r="U88" t="s">
        <v>271</v>
      </c>
      <c r="V88" t="s">
        <v>257</v>
      </c>
      <c r="W88" t="s">
        <v>258</v>
      </c>
      <c r="X88" t="s">
        <v>261</v>
      </c>
      <c r="Y88" t="s">
        <v>260</v>
      </c>
    </row>
    <row r="89" spans="1:25" x14ac:dyDescent="0.25">
      <c r="A89" t="s">
        <v>187</v>
      </c>
      <c r="B89" t="s">
        <v>267</v>
      </c>
      <c r="C89" t="s">
        <v>260</v>
      </c>
      <c r="D89" t="s">
        <v>262</v>
      </c>
      <c r="E89" t="s">
        <v>258</v>
      </c>
      <c r="F89" t="s">
        <v>250</v>
      </c>
      <c r="G89" t="s">
        <v>255</v>
      </c>
      <c r="H89" t="s">
        <v>266</v>
      </c>
      <c r="I89" t="s">
        <v>257</v>
      </c>
      <c r="J89" t="s">
        <v>263</v>
      </c>
      <c r="K89" t="s">
        <v>271</v>
      </c>
      <c r="L89" t="s">
        <v>264</v>
      </c>
      <c r="M89" t="s">
        <v>259</v>
      </c>
      <c r="N89" t="s">
        <v>253</v>
      </c>
      <c r="O89" t="s">
        <v>256</v>
      </c>
      <c r="P89" t="s">
        <v>261</v>
      </c>
      <c r="Q89" t="s">
        <v>268</v>
      </c>
      <c r="R89" t="s">
        <v>251</v>
      </c>
      <c r="S89" t="s">
        <v>269</v>
      </c>
      <c r="T89" t="s">
        <v>254</v>
      </c>
      <c r="U89" t="s">
        <v>252</v>
      </c>
      <c r="V89" t="s">
        <v>272</v>
      </c>
      <c r="W89" t="s">
        <v>265</v>
      </c>
      <c r="X89" t="s">
        <v>249</v>
      </c>
      <c r="Y89" t="s">
        <v>270</v>
      </c>
    </row>
    <row r="90" spans="1:25" x14ac:dyDescent="0.25">
      <c r="A90" t="s">
        <v>188</v>
      </c>
      <c r="B90" t="s">
        <v>267</v>
      </c>
      <c r="C90" t="s">
        <v>251</v>
      </c>
      <c r="D90" t="s">
        <v>255</v>
      </c>
      <c r="E90" t="s">
        <v>254</v>
      </c>
      <c r="F90" t="s">
        <v>261</v>
      </c>
      <c r="G90" t="s">
        <v>257</v>
      </c>
      <c r="H90" t="s">
        <v>262</v>
      </c>
      <c r="I90" t="s">
        <v>249</v>
      </c>
      <c r="J90" t="s">
        <v>260</v>
      </c>
      <c r="K90" t="s">
        <v>268</v>
      </c>
      <c r="L90" t="s">
        <v>250</v>
      </c>
      <c r="M90" t="s">
        <v>264</v>
      </c>
      <c r="N90" t="s">
        <v>266</v>
      </c>
      <c r="O90" t="s">
        <v>259</v>
      </c>
      <c r="P90" t="s">
        <v>256</v>
      </c>
      <c r="Q90" t="s">
        <v>258</v>
      </c>
      <c r="R90" t="s">
        <v>272</v>
      </c>
      <c r="S90" t="s">
        <v>271</v>
      </c>
      <c r="T90" t="s">
        <v>253</v>
      </c>
      <c r="U90" t="s">
        <v>252</v>
      </c>
      <c r="V90" t="s">
        <v>270</v>
      </c>
      <c r="W90" t="s">
        <v>265</v>
      </c>
      <c r="X90" t="s">
        <v>263</v>
      </c>
      <c r="Y90" t="s">
        <v>269</v>
      </c>
    </row>
    <row r="91" spans="1:25" x14ac:dyDescent="0.25">
      <c r="A91" t="s">
        <v>189</v>
      </c>
      <c r="B91" t="s">
        <v>266</v>
      </c>
      <c r="C91" t="s">
        <v>262</v>
      </c>
      <c r="D91" t="s">
        <v>249</v>
      </c>
      <c r="E91" t="s">
        <v>258</v>
      </c>
      <c r="F91" t="s">
        <v>255</v>
      </c>
      <c r="G91" t="s">
        <v>265</v>
      </c>
      <c r="H91" t="s">
        <v>271</v>
      </c>
      <c r="I91" t="s">
        <v>270</v>
      </c>
      <c r="J91" t="s">
        <v>261</v>
      </c>
      <c r="K91" t="s">
        <v>260</v>
      </c>
      <c r="L91" t="s">
        <v>267</v>
      </c>
      <c r="M91" t="s">
        <v>264</v>
      </c>
      <c r="N91" t="s">
        <v>263</v>
      </c>
      <c r="O91" t="s">
        <v>250</v>
      </c>
      <c r="P91" t="s">
        <v>268</v>
      </c>
      <c r="Q91" t="s">
        <v>272</v>
      </c>
      <c r="R91" t="s">
        <v>253</v>
      </c>
      <c r="S91" t="s">
        <v>251</v>
      </c>
      <c r="T91" t="s">
        <v>254</v>
      </c>
      <c r="U91" t="s">
        <v>259</v>
      </c>
      <c r="V91" t="s">
        <v>269</v>
      </c>
      <c r="W91" t="s">
        <v>252</v>
      </c>
      <c r="X91" t="s">
        <v>257</v>
      </c>
      <c r="Y91" t="s">
        <v>256</v>
      </c>
    </row>
    <row r="92" spans="1:25" x14ac:dyDescent="0.25">
      <c r="A92" t="s">
        <v>190</v>
      </c>
      <c r="B92" t="s">
        <v>264</v>
      </c>
      <c r="C92" t="s">
        <v>252</v>
      </c>
      <c r="D92" t="s">
        <v>250</v>
      </c>
      <c r="E92" t="s">
        <v>249</v>
      </c>
      <c r="F92" t="s">
        <v>265</v>
      </c>
      <c r="G92" t="s">
        <v>255</v>
      </c>
      <c r="H92" t="s">
        <v>261</v>
      </c>
      <c r="I92" t="s">
        <v>258</v>
      </c>
      <c r="J92" t="s">
        <v>256</v>
      </c>
      <c r="K92" t="s">
        <v>270</v>
      </c>
      <c r="L92" t="s">
        <v>271</v>
      </c>
      <c r="M92" t="s">
        <v>262</v>
      </c>
      <c r="N92" t="s">
        <v>269</v>
      </c>
      <c r="O92" t="s">
        <v>267</v>
      </c>
      <c r="P92" t="s">
        <v>259</v>
      </c>
      <c r="Q92" t="s">
        <v>253</v>
      </c>
      <c r="R92" t="s">
        <v>272</v>
      </c>
      <c r="S92" t="s">
        <v>257</v>
      </c>
      <c r="T92" t="s">
        <v>251</v>
      </c>
      <c r="U92" t="s">
        <v>260</v>
      </c>
      <c r="V92" t="s">
        <v>268</v>
      </c>
      <c r="W92" t="s">
        <v>263</v>
      </c>
      <c r="X92" t="s">
        <v>254</v>
      </c>
      <c r="Y92" t="s">
        <v>266</v>
      </c>
    </row>
    <row r="93" spans="1:25" x14ac:dyDescent="0.25">
      <c r="A93" t="s">
        <v>191</v>
      </c>
      <c r="B93" t="s">
        <v>251</v>
      </c>
      <c r="C93" t="s">
        <v>260</v>
      </c>
      <c r="D93" t="s">
        <v>265</v>
      </c>
      <c r="E93" t="s">
        <v>255</v>
      </c>
      <c r="F93" t="s">
        <v>267</v>
      </c>
      <c r="G93" t="s">
        <v>270</v>
      </c>
      <c r="H93" t="s">
        <v>262</v>
      </c>
      <c r="I93" t="s">
        <v>256</v>
      </c>
      <c r="J93" t="s">
        <v>258</v>
      </c>
      <c r="K93" t="s">
        <v>271</v>
      </c>
      <c r="L93" t="s">
        <v>254</v>
      </c>
      <c r="M93" t="s">
        <v>272</v>
      </c>
      <c r="N93" t="s">
        <v>250</v>
      </c>
      <c r="O93" t="s">
        <v>259</v>
      </c>
      <c r="P93" t="s">
        <v>261</v>
      </c>
      <c r="Q93" t="s">
        <v>252</v>
      </c>
      <c r="R93" t="s">
        <v>269</v>
      </c>
      <c r="S93" t="s">
        <v>249</v>
      </c>
      <c r="T93" t="s">
        <v>266</v>
      </c>
      <c r="U93" t="s">
        <v>263</v>
      </c>
      <c r="V93" t="s">
        <v>257</v>
      </c>
      <c r="W93" t="s">
        <v>253</v>
      </c>
      <c r="X93" t="s">
        <v>268</v>
      </c>
      <c r="Y93" t="s">
        <v>264</v>
      </c>
    </row>
    <row r="94" spans="1:25" x14ac:dyDescent="0.25">
      <c r="A94" t="s">
        <v>192</v>
      </c>
      <c r="B94" t="s">
        <v>260</v>
      </c>
      <c r="C94" t="s">
        <v>250</v>
      </c>
      <c r="D94" t="s">
        <v>271</v>
      </c>
      <c r="E94" t="s">
        <v>272</v>
      </c>
      <c r="F94" t="s">
        <v>265</v>
      </c>
      <c r="G94" t="s">
        <v>267</v>
      </c>
      <c r="H94" t="s">
        <v>266</v>
      </c>
      <c r="I94" t="s">
        <v>253</v>
      </c>
      <c r="J94" t="s">
        <v>269</v>
      </c>
      <c r="K94" t="s">
        <v>249</v>
      </c>
      <c r="L94" t="s">
        <v>261</v>
      </c>
      <c r="M94" t="s">
        <v>252</v>
      </c>
      <c r="N94" t="s">
        <v>258</v>
      </c>
      <c r="O94" t="s">
        <v>254</v>
      </c>
      <c r="P94" t="s">
        <v>263</v>
      </c>
      <c r="Q94" t="s">
        <v>268</v>
      </c>
      <c r="R94" t="s">
        <v>256</v>
      </c>
      <c r="S94" t="s">
        <v>255</v>
      </c>
      <c r="T94" t="s">
        <v>259</v>
      </c>
      <c r="U94" t="s">
        <v>257</v>
      </c>
      <c r="V94" t="s">
        <v>262</v>
      </c>
      <c r="W94" t="s">
        <v>251</v>
      </c>
      <c r="X94" t="s">
        <v>270</v>
      </c>
      <c r="Y94" t="s">
        <v>264</v>
      </c>
    </row>
    <row r="95" spans="1:25" x14ac:dyDescent="0.25">
      <c r="A95" t="s">
        <v>193</v>
      </c>
      <c r="B95" t="s">
        <v>267</v>
      </c>
      <c r="C95" t="s">
        <v>260</v>
      </c>
      <c r="D95" t="s">
        <v>265</v>
      </c>
      <c r="E95" t="s">
        <v>269</v>
      </c>
      <c r="F95" t="s">
        <v>258</v>
      </c>
      <c r="G95" t="s">
        <v>263</v>
      </c>
      <c r="H95" t="s">
        <v>272</v>
      </c>
      <c r="I95" t="s">
        <v>270</v>
      </c>
      <c r="J95" t="s">
        <v>253</v>
      </c>
      <c r="K95" t="s">
        <v>262</v>
      </c>
      <c r="L95" t="s">
        <v>256</v>
      </c>
      <c r="M95" t="s">
        <v>268</v>
      </c>
      <c r="N95" t="s">
        <v>254</v>
      </c>
      <c r="O95" t="s">
        <v>255</v>
      </c>
      <c r="P95" t="s">
        <v>264</v>
      </c>
      <c r="Q95" t="s">
        <v>251</v>
      </c>
      <c r="R95" t="s">
        <v>261</v>
      </c>
      <c r="S95" t="s">
        <v>250</v>
      </c>
      <c r="T95" t="s">
        <v>257</v>
      </c>
      <c r="U95" t="s">
        <v>271</v>
      </c>
      <c r="V95" t="s">
        <v>249</v>
      </c>
      <c r="W95" t="s">
        <v>259</v>
      </c>
      <c r="X95" t="s">
        <v>266</v>
      </c>
      <c r="Y95" t="s">
        <v>252</v>
      </c>
    </row>
    <row r="96" spans="1:25" x14ac:dyDescent="0.25">
      <c r="A96" t="s">
        <v>194</v>
      </c>
      <c r="B96" t="s">
        <v>262</v>
      </c>
      <c r="C96" t="s">
        <v>257</v>
      </c>
      <c r="D96" t="s">
        <v>253</v>
      </c>
      <c r="E96" t="s">
        <v>258</v>
      </c>
      <c r="F96" t="s">
        <v>266</v>
      </c>
      <c r="G96" t="s">
        <v>272</v>
      </c>
      <c r="H96" t="s">
        <v>263</v>
      </c>
      <c r="I96" t="s">
        <v>255</v>
      </c>
      <c r="J96" t="s">
        <v>261</v>
      </c>
      <c r="K96" t="s">
        <v>256</v>
      </c>
      <c r="L96" t="s">
        <v>270</v>
      </c>
      <c r="M96" t="s">
        <v>264</v>
      </c>
      <c r="N96" t="s">
        <v>268</v>
      </c>
      <c r="O96" t="s">
        <v>267</v>
      </c>
      <c r="P96" t="s">
        <v>251</v>
      </c>
      <c r="Q96" t="s">
        <v>271</v>
      </c>
      <c r="R96" t="s">
        <v>260</v>
      </c>
      <c r="S96" t="s">
        <v>269</v>
      </c>
      <c r="T96" t="s">
        <v>249</v>
      </c>
      <c r="U96" t="s">
        <v>265</v>
      </c>
      <c r="V96" t="s">
        <v>254</v>
      </c>
      <c r="W96" t="s">
        <v>259</v>
      </c>
      <c r="X96" t="s">
        <v>250</v>
      </c>
      <c r="Y96" t="s">
        <v>252</v>
      </c>
    </row>
    <row r="97" spans="1:25" x14ac:dyDescent="0.25">
      <c r="A97" t="s">
        <v>195</v>
      </c>
      <c r="B97" t="s">
        <v>260</v>
      </c>
      <c r="C97" t="s">
        <v>272</v>
      </c>
      <c r="D97" t="s">
        <v>249</v>
      </c>
      <c r="E97" t="s">
        <v>257</v>
      </c>
      <c r="F97" t="s">
        <v>269</v>
      </c>
      <c r="G97" t="s">
        <v>270</v>
      </c>
      <c r="H97" t="s">
        <v>266</v>
      </c>
      <c r="I97" t="s">
        <v>254</v>
      </c>
      <c r="J97" t="s">
        <v>256</v>
      </c>
      <c r="K97" t="s">
        <v>268</v>
      </c>
      <c r="L97" t="s">
        <v>251</v>
      </c>
      <c r="M97" t="s">
        <v>250</v>
      </c>
      <c r="N97" t="s">
        <v>265</v>
      </c>
      <c r="O97" t="s">
        <v>267</v>
      </c>
      <c r="P97" t="s">
        <v>259</v>
      </c>
      <c r="Q97" t="s">
        <v>262</v>
      </c>
      <c r="R97" t="s">
        <v>263</v>
      </c>
      <c r="S97" t="s">
        <v>271</v>
      </c>
      <c r="T97" t="s">
        <v>264</v>
      </c>
      <c r="U97" t="s">
        <v>258</v>
      </c>
      <c r="V97" t="s">
        <v>252</v>
      </c>
      <c r="W97" t="s">
        <v>261</v>
      </c>
      <c r="X97" t="s">
        <v>253</v>
      </c>
      <c r="Y97" t="s">
        <v>255</v>
      </c>
    </row>
    <row r="98" spans="1:25" x14ac:dyDescent="0.25">
      <c r="A98" t="s">
        <v>196</v>
      </c>
      <c r="B98" t="s">
        <v>271</v>
      </c>
      <c r="C98" t="s">
        <v>262</v>
      </c>
      <c r="D98" t="s">
        <v>266</v>
      </c>
      <c r="E98" t="s">
        <v>257</v>
      </c>
      <c r="F98" t="s">
        <v>249</v>
      </c>
      <c r="G98" t="s">
        <v>270</v>
      </c>
      <c r="H98" t="s">
        <v>259</v>
      </c>
      <c r="I98" t="s">
        <v>269</v>
      </c>
      <c r="J98" t="s">
        <v>264</v>
      </c>
      <c r="K98" t="s">
        <v>268</v>
      </c>
      <c r="L98" t="s">
        <v>260</v>
      </c>
      <c r="M98" t="s">
        <v>267</v>
      </c>
      <c r="N98" t="s">
        <v>272</v>
      </c>
      <c r="O98" t="s">
        <v>258</v>
      </c>
      <c r="P98" t="s">
        <v>251</v>
      </c>
      <c r="Q98" t="s">
        <v>253</v>
      </c>
      <c r="R98" t="s">
        <v>256</v>
      </c>
      <c r="S98" t="s">
        <v>254</v>
      </c>
      <c r="T98" t="s">
        <v>265</v>
      </c>
      <c r="U98" t="s">
        <v>250</v>
      </c>
      <c r="V98" t="s">
        <v>261</v>
      </c>
      <c r="W98" t="s">
        <v>263</v>
      </c>
      <c r="X98" t="s">
        <v>252</v>
      </c>
      <c r="Y98" t="s">
        <v>255</v>
      </c>
    </row>
    <row r="99" spans="1:25" x14ac:dyDescent="0.25">
      <c r="A99" t="s">
        <v>197</v>
      </c>
      <c r="B99" t="s">
        <v>262</v>
      </c>
      <c r="C99" t="s">
        <v>263</v>
      </c>
      <c r="D99" t="s">
        <v>257</v>
      </c>
      <c r="E99" t="s">
        <v>256</v>
      </c>
      <c r="F99" t="s">
        <v>254</v>
      </c>
      <c r="G99" t="s">
        <v>252</v>
      </c>
      <c r="H99" t="s">
        <v>251</v>
      </c>
      <c r="I99" t="s">
        <v>269</v>
      </c>
      <c r="J99" t="s">
        <v>264</v>
      </c>
      <c r="K99" t="s">
        <v>268</v>
      </c>
      <c r="L99" t="s">
        <v>265</v>
      </c>
      <c r="M99" t="s">
        <v>258</v>
      </c>
      <c r="N99" t="s">
        <v>259</v>
      </c>
      <c r="O99" t="s">
        <v>253</v>
      </c>
      <c r="P99" t="s">
        <v>266</v>
      </c>
      <c r="Q99" t="s">
        <v>271</v>
      </c>
      <c r="R99" t="s">
        <v>267</v>
      </c>
      <c r="S99" t="s">
        <v>250</v>
      </c>
      <c r="T99" t="s">
        <v>261</v>
      </c>
      <c r="U99" t="s">
        <v>272</v>
      </c>
      <c r="V99" t="s">
        <v>255</v>
      </c>
      <c r="W99" t="s">
        <v>270</v>
      </c>
      <c r="X99" t="s">
        <v>260</v>
      </c>
      <c r="Y99" t="s">
        <v>249</v>
      </c>
    </row>
    <row r="100" spans="1:25" x14ac:dyDescent="0.25">
      <c r="A100" t="s">
        <v>198</v>
      </c>
      <c r="B100" t="s">
        <v>263</v>
      </c>
      <c r="C100" t="s">
        <v>262</v>
      </c>
      <c r="D100" t="s">
        <v>258</v>
      </c>
      <c r="E100" t="s">
        <v>270</v>
      </c>
      <c r="F100" t="s">
        <v>257</v>
      </c>
      <c r="G100" t="s">
        <v>256</v>
      </c>
      <c r="H100" t="s">
        <v>271</v>
      </c>
      <c r="I100" t="s">
        <v>267</v>
      </c>
      <c r="J100" t="s">
        <v>250</v>
      </c>
      <c r="K100" t="s">
        <v>255</v>
      </c>
      <c r="L100" t="s">
        <v>261</v>
      </c>
      <c r="M100" t="s">
        <v>269</v>
      </c>
      <c r="N100" t="s">
        <v>266</v>
      </c>
      <c r="O100" t="s">
        <v>259</v>
      </c>
      <c r="P100" t="s">
        <v>272</v>
      </c>
      <c r="Q100" t="s">
        <v>252</v>
      </c>
      <c r="R100" t="s">
        <v>260</v>
      </c>
      <c r="S100" t="s">
        <v>253</v>
      </c>
      <c r="T100" t="s">
        <v>254</v>
      </c>
      <c r="U100" t="s">
        <v>249</v>
      </c>
      <c r="V100" t="s">
        <v>265</v>
      </c>
      <c r="W100" t="s">
        <v>251</v>
      </c>
      <c r="X100" t="s">
        <v>268</v>
      </c>
      <c r="Y100" t="s">
        <v>264</v>
      </c>
    </row>
    <row r="101" spans="1:25" x14ac:dyDescent="0.25">
      <c r="A101" t="s">
        <v>199</v>
      </c>
      <c r="B101" t="s">
        <v>249</v>
      </c>
      <c r="C101" t="s">
        <v>258</v>
      </c>
      <c r="D101" t="s">
        <v>264</v>
      </c>
      <c r="E101" t="s">
        <v>252</v>
      </c>
      <c r="F101" t="s">
        <v>269</v>
      </c>
      <c r="G101" t="s">
        <v>266</v>
      </c>
      <c r="H101" t="s">
        <v>255</v>
      </c>
      <c r="I101" t="s">
        <v>267</v>
      </c>
      <c r="J101" t="s">
        <v>271</v>
      </c>
      <c r="K101" t="s">
        <v>257</v>
      </c>
      <c r="L101" t="s">
        <v>261</v>
      </c>
      <c r="M101" t="s">
        <v>268</v>
      </c>
      <c r="N101" t="s">
        <v>272</v>
      </c>
      <c r="O101" t="s">
        <v>263</v>
      </c>
      <c r="P101" t="s">
        <v>262</v>
      </c>
      <c r="Q101" t="s">
        <v>253</v>
      </c>
      <c r="R101" t="s">
        <v>254</v>
      </c>
      <c r="S101" t="s">
        <v>270</v>
      </c>
      <c r="T101" t="s">
        <v>265</v>
      </c>
      <c r="U101" t="s">
        <v>250</v>
      </c>
      <c r="V101" t="s">
        <v>260</v>
      </c>
      <c r="W101" t="s">
        <v>256</v>
      </c>
      <c r="X101" t="s">
        <v>259</v>
      </c>
      <c r="Y101" t="s">
        <v>251</v>
      </c>
    </row>
    <row r="102" spans="1:25" x14ac:dyDescent="0.25">
      <c r="A102" t="s">
        <v>200</v>
      </c>
      <c r="B102" t="s">
        <v>269</v>
      </c>
      <c r="C102" t="s">
        <v>260</v>
      </c>
      <c r="D102" t="s">
        <v>253</v>
      </c>
      <c r="E102" t="s">
        <v>256</v>
      </c>
      <c r="F102" t="s">
        <v>268</v>
      </c>
      <c r="G102" t="s">
        <v>267</v>
      </c>
      <c r="H102" t="s">
        <v>249</v>
      </c>
      <c r="I102" t="s">
        <v>258</v>
      </c>
      <c r="J102" t="s">
        <v>257</v>
      </c>
      <c r="K102" t="s">
        <v>266</v>
      </c>
      <c r="L102" t="s">
        <v>252</v>
      </c>
      <c r="M102" t="s">
        <v>264</v>
      </c>
      <c r="N102" t="s">
        <v>254</v>
      </c>
      <c r="O102" t="s">
        <v>255</v>
      </c>
      <c r="P102" t="s">
        <v>259</v>
      </c>
      <c r="Q102" t="s">
        <v>261</v>
      </c>
      <c r="R102" t="s">
        <v>272</v>
      </c>
      <c r="S102" t="s">
        <v>271</v>
      </c>
      <c r="T102" t="s">
        <v>262</v>
      </c>
      <c r="U102" t="s">
        <v>251</v>
      </c>
      <c r="V102" t="s">
        <v>265</v>
      </c>
      <c r="W102" t="s">
        <v>250</v>
      </c>
      <c r="X102" t="s">
        <v>263</v>
      </c>
      <c r="Y102" t="s">
        <v>270</v>
      </c>
    </row>
    <row r="103" spans="1:25" x14ac:dyDescent="0.25">
      <c r="A103" t="s">
        <v>201</v>
      </c>
      <c r="B103" t="s">
        <v>263</v>
      </c>
      <c r="C103" t="s">
        <v>255</v>
      </c>
      <c r="D103" t="s">
        <v>249</v>
      </c>
      <c r="E103" t="s">
        <v>253</v>
      </c>
      <c r="F103" t="s">
        <v>261</v>
      </c>
      <c r="G103" t="s">
        <v>266</v>
      </c>
      <c r="H103" t="s">
        <v>267</v>
      </c>
      <c r="I103" t="s">
        <v>270</v>
      </c>
      <c r="J103" t="s">
        <v>269</v>
      </c>
      <c r="K103" t="s">
        <v>265</v>
      </c>
      <c r="L103" t="s">
        <v>256</v>
      </c>
      <c r="M103" t="s">
        <v>250</v>
      </c>
      <c r="N103" t="s">
        <v>251</v>
      </c>
      <c r="O103" t="s">
        <v>262</v>
      </c>
      <c r="P103" t="s">
        <v>254</v>
      </c>
      <c r="Q103" t="s">
        <v>268</v>
      </c>
      <c r="R103" t="s">
        <v>264</v>
      </c>
      <c r="S103" t="s">
        <v>271</v>
      </c>
      <c r="T103" t="s">
        <v>252</v>
      </c>
      <c r="U103" t="s">
        <v>257</v>
      </c>
      <c r="V103" t="s">
        <v>259</v>
      </c>
      <c r="W103" t="s">
        <v>258</v>
      </c>
      <c r="X103" t="s">
        <v>272</v>
      </c>
      <c r="Y103" t="s">
        <v>260</v>
      </c>
    </row>
    <row r="104" spans="1:25" x14ac:dyDescent="0.25">
      <c r="A104" t="s">
        <v>202</v>
      </c>
      <c r="B104" t="s">
        <v>251</v>
      </c>
      <c r="C104" t="s">
        <v>252</v>
      </c>
      <c r="D104" t="s">
        <v>254</v>
      </c>
      <c r="E104" t="s">
        <v>263</v>
      </c>
      <c r="F104" t="s">
        <v>267</v>
      </c>
      <c r="G104" t="s">
        <v>264</v>
      </c>
      <c r="H104" t="s">
        <v>253</v>
      </c>
      <c r="I104" t="s">
        <v>258</v>
      </c>
      <c r="J104" t="s">
        <v>260</v>
      </c>
      <c r="K104" t="s">
        <v>266</v>
      </c>
      <c r="L104" t="s">
        <v>256</v>
      </c>
      <c r="M104" t="s">
        <v>262</v>
      </c>
      <c r="N104" t="s">
        <v>249</v>
      </c>
      <c r="O104" t="s">
        <v>271</v>
      </c>
      <c r="P104" t="s">
        <v>259</v>
      </c>
      <c r="Q104" t="s">
        <v>272</v>
      </c>
      <c r="R104" t="s">
        <v>270</v>
      </c>
      <c r="S104" t="s">
        <v>265</v>
      </c>
      <c r="T104" t="s">
        <v>250</v>
      </c>
      <c r="U104" t="s">
        <v>257</v>
      </c>
      <c r="V104" t="s">
        <v>255</v>
      </c>
      <c r="W104" t="s">
        <v>268</v>
      </c>
      <c r="X104" t="s">
        <v>269</v>
      </c>
      <c r="Y104" t="s">
        <v>261</v>
      </c>
    </row>
    <row r="105" spans="1:25" x14ac:dyDescent="0.25">
      <c r="A105" t="s">
        <v>203</v>
      </c>
      <c r="B105" t="s">
        <v>268</v>
      </c>
      <c r="C105" t="s">
        <v>265</v>
      </c>
      <c r="D105" t="s">
        <v>251</v>
      </c>
      <c r="E105" t="s">
        <v>266</v>
      </c>
      <c r="F105" t="s">
        <v>254</v>
      </c>
      <c r="G105" t="s">
        <v>263</v>
      </c>
      <c r="H105" t="s">
        <v>249</v>
      </c>
      <c r="I105" t="s">
        <v>262</v>
      </c>
      <c r="J105" t="s">
        <v>260</v>
      </c>
      <c r="K105" t="s">
        <v>255</v>
      </c>
      <c r="L105" t="s">
        <v>269</v>
      </c>
      <c r="M105" t="s">
        <v>257</v>
      </c>
      <c r="N105" t="s">
        <v>261</v>
      </c>
      <c r="O105" t="s">
        <v>253</v>
      </c>
      <c r="P105" t="s">
        <v>258</v>
      </c>
      <c r="Q105" t="s">
        <v>267</v>
      </c>
      <c r="R105" t="s">
        <v>256</v>
      </c>
      <c r="S105" t="s">
        <v>272</v>
      </c>
      <c r="T105" t="s">
        <v>259</v>
      </c>
      <c r="U105" t="s">
        <v>250</v>
      </c>
      <c r="V105" t="s">
        <v>270</v>
      </c>
      <c r="W105" t="s">
        <v>252</v>
      </c>
      <c r="X105" t="s">
        <v>264</v>
      </c>
      <c r="Y105" t="s">
        <v>271</v>
      </c>
    </row>
    <row r="106" spans="1:25" x14ac:dyDescent="0.25">
      <c r="A106" t="s">
        <v>204</v>
      </c>
      <c r="B106" t="s">
        <v>269</v>
      </c>
      <c r="C106" t="s">
        <v>257</v>
      </c>
      <c r="D106" t="s">
        <v>251</v>
      </c>
      <c r="E106" t="s">
        <v>265</v>
      </c>
      <c r="F106" t="s">
        <v>253</v>
      </c>
      <c r="G106" t="s">
        <v>271</v>
      </c>
      <c r="H106" t="s">
        <v>261</v>
      </c>
      <c r="I106" t="s">
        <v>267</v>
      </c>
      <c r="J106" t="s">
        <v>268</v>
      </c>
      <c r="K106" t="s">
        <v>264</v>
      </c>
      <c r="L106" t="s">
        <v>249</v>
      </c>
      <c r="M106" t="s">
        <v>262</v>
      </c>
      <c r="N106" t="s">
        <v>263</v>
      </c>
      <c r="O106" t="s">
        <v>252</v>
      </c>
      <c r="P106" t="s">
        <v>259</v>
      </c>
      <c r="Q106" t="s">
        <v>256</v>
      </c>
      <c r="R106" t="s">
        <v>266</v>
      </c>
      <c r="S106" t="s">
        <v>250</v>
      </c>
      <c r="T106" t="s">
        <v>272</v>
      </c>
      <c r="U106" t="s">
        <v>260</v>
      </c>
      <c r="V106" t="s">
        <v>255</v>
      </c>
      <c r="W106" t="s">
        <v>270</v>
      </c>
      <c r="X106" t="s">
        <v>254</v>
      </c>
      <c r="Y106" t="s">
        <v>258</v>
      </c>
    </row>
    <row r="107" spans="1:25" x14ac:dyDescent="0.25">
      <c r="A107" t="s">
        <v>205</v>
      </c>
      <c r="B107" t="s">
        <v>261</v>
      </c>
      <c r="C107" t="s">
        <v>258</v>
      </c>
      <c r="D107" t="s">
        <v>263</v>
      </c>
      <c r="E107" t="s">
        <v>268</v>
      </c>
      <c r="F107" t="s">
        <v>252</v>
      </c>
      <c r="G107" t="s">
        <v>264</v>
      </c>
      <c r="H107" t="s">
        <v>265</v>
      </c>
      <c r="I107" t="s">
        <v>272</v>
      </c>
      <c r="J107" t="s">
        <v>249</v>
      </c>
      <c r="K107" t="s">
        <v>256</v>
      </c>
      <c r="L107" t="s">
        <v>267</v>
      </c>
      <c r="M107" t="s">
        <v>253</v>
      </c>
      <c r="N107" t="s">
        <v>255</v>
      </c>
      <c r="O107" t="s">
        <v>270</v>
      </c>
      <c r="P107" t="s">
        <v>254</v>
      </c>
      <c r="Q107" t="s">
        <v>266</v>
      </c>
      <c r="R107" t="s">
        <v>260</v>
      </c>
      <c r="S107" t="s">
        <v>271</v>
      </c>
      <c r="T107" t="s">
        <v>257</v>
      </c>
      <c r="U107" t="s">
        <v>262</v>
      </c>
      <c r="V107" t="s">
        <v>250</v>
      </c>
      <c r="W107" t="s">
        <v>259</v>
      </c>
      <c r="X107" t="s">
        <v>269</v>
      </c>
      <c r="Y107" t="s">
        <v>251</v>
      </c>
    </row>
    <row r="108" spans="1:25" x14ac:dyDescent="0.25">
      <c r="A108" t="s">
        <v>206</v>
      </c>
      <c r="B108" t="s">
        <v>264</v>
      </c>
      <c r="C108" t="s">
        <v>255</v>
      </c>
      <c r="D108" t="s">
        <v>272</v>
      </c>
      <c r="E108" t="s">
        <v>257</v>
      </c>
      <c r="F108" t="s">
        <v>256</v>
      </c>
      <c r="G108" t="s">
        <v>250</v>
      </c>
      <c r="H108" t="s">
        <v>253</v>
      </c>
      <c r="I108" t="s">
        <v>266</v>
      </c>
      <c r="J108" t="s">
        <v>254</v>
      </c>
      <c r="K108" t="s">
        <v>268</v>
      </c>
      <c r="L108" t="s">
        <v>258</v>
      </c>
      <c r="M108" t="s">
        <v>251</v>
      </c>
      <c r="N108" t="s">
        <v>252</v>
      </c>
      <c r="O108" t="s">
        <v>263</v>
      </c>
      <c r="P108" t="s">
        <v>267</v>
      </c>
      <c r="Q108" t="s">
        <v>260</v>
      </c>
      <c r="R108" t="s">
        <v>265</v>
      </c>
      <c r="S108" t="s">
        <v>249</v>
      </c>
      <c r="T108" t="s">
        <v>262</v>
      </c>
      <c r="U108" t="s">
        <v>270</v>
      </c>
      <c r="V108" t="s">
        <v>259</v>
      </c>
      <c r="W108" t="s">
        <v>269</v>
      </c>
      <c r="X108" t="s">
        <v>271</v>
      </c>
      <c r="Y108" t="s">
        <v>261</v>
      </c>
    </row>
    <row r="109" spans="1:25" x14ac:dyDescent="0.25">
      <c r="A109" t="s">
        <v>207</v>
      </c>
      <c r="B109" t="s">
        <v>255</v>
      </c>
      <c r="C109" t="s">
        <v>252</v>
      </c>
      <c r="D109" t="s">
        <v>253</v>
      </c>
      <c r="E109" t="s">
        <v>257</v>
      </c>
      <c r="F109" t="s">
        <v>261</v>
      </c>
      <c r="G109" t="s">
        <v>265</v>
      </c>
      <c r="H109" t="s">
        <v>260</v>
      </c>
      <c r="I109" t="s">
        <v>251</v>
      </c>
      <c r="J109" t="s">
        <v>256</v>
      </c>
      <c r="K109" t="s">
        <v>258</v>
      </c>
      <c r="L109" t="s">
        <v>259</v>
      </c>
      <c r="M109" t="s">
        <v>269</v>
      </c>
      <c r="N109" t="s">
        <v>272</v>
      </c>
      <c r="O109" t="s">
        <v>254</v>
      </c>
      <c r="P109" t="s">
        <v>268</v>
      </c>
      <c r="Q109" t="s">
        <v>266</v>
      </c>
      <c r="R109" t="s">
        <v>271</v>
      </c>
      <c r="S109" t="s">
        <v>270</v>
      </c>
      <c r="T109" t="s">
        <v>249</v>
      </c>
      <c r="U109" t="s">
        <v>263</v>
      </c>
      <c r="V109" t="s">
        <v>267</v>
      </c>
      <c r="W109" t="s">
        <v>264</v>
      </c>
      <c r="X109" t="s">
        <v>250</v>
      </c>
      <c r="Y109" t="s">
        <v>262</v>
      </c>
    </row>
    <row r="110" spans="1:25" x14ac:dyDescent="0.25">
      <c r="A110" t="s">
        <v>208</v>
      </c>
      <c r="B110" t="s">
        <v>252</v>
      </c>
      <c r="C110" t="s">
        <v>265</v>
      </c>
      <c r="D110" t="s">
        <v>262</v>
      </c>
      <c r="E110" t="s">
        <v>267</v>
      </c>
      <c r="F110" t="s">
        <v>258</v>
      </c>
      <c r="G110" t="s">
        <v>256</v>
      </c>
      <c r="H110" t="s">
        <v>272</v>
      </c>
      <c r="I110" t="s">
        <v>270</v>
      </c>
      <c r="J110" t="s">
        <v>260</v>
      </c>
      <c r="K110" t="s">
        <v>249</v>
      </c>
      <c r="L110" t="s">
        <v>261</v>
      </c>
      <c r="M110" t="s">
        <v>269</v>
      </c>
      <c r="N110" t="s">
        <v>253</v>
      </c>
      <c r="O110" t="s">
        <v>263</v>
      </c>
      <c r="P110" t="s">
        <v>255</v>
      </c>
      <c r="Q110" t="s">
        <v>264</v>
      </c>
      <c r="R110" t="s">
        <v>268</v>
      </c>
      <c r="S110" t="s">
        <v>251</v>
      </c>
      <c r="T110" t="s">
        <v>271</v>
      </c>
      <c r="U110" t="s">
        <v>254</v>
      </c>
      <c r="V110" t="s">
        <v>266</v>
      </c>
      <c r="W110" t="s">
        <v>250</v>
      </c>
      <c r="X110" t="s">
        <v>259</v>
      </c>
      <c r="Y110" t="s">
        <v>257</v>
      </c>
    </row>
    <row r="111" spans="1:25" x14ac:dyDescent="0.25">
      <c r="A111" t="s">
        <v>209</v>
      </c>
      <c r="B111" t="s">
        <v>256</v>
      </c>
      <c r="C111" t="s">
        <v>264</v>
      </c>
      <c r="D111" t="s">
        <v>261</v>
      </c>
      <c r="E111" t="s">
        <v>259</v>
      </c>
      <c r="F111" t="s">
        <v>251</v>
      </c>
      <c r="G111" t="s">
        <v>269</v>
      </c>
      <c r="H111" t="s">
        <v>265</v>
      </c>
      <c r="I111" t="s">
        <v>250</v>
      </c>
      <c r="J111" t="s">
        <v>262</v>
      </c>
      <c r="K111" t="s">
        <v>258</v>
      </c>
      <c r="L111" t="s">
        <v>263</v>
      </c>
      <c r="M111" t="s">
        <v>254</v>
      </c>
      <c r="N111" t="s">
        <v>252</v>
      </c>
      <c r="O111" t="s">
        <v>271</v>
      </c>
      <c r="P111" t="s">
        <v>272</v>
      </c>
      <c r="Q111" t="s">
        <v>255</v>
      </c>
      <c r="R111" t="s">
        <v>253</v>
      </c>
      <c r="S111" t="s">
        <v>257</v>
      </c>
      <c r="T111" t="s">
        <v>260</v>
      </c>
      <c r="U111" t="s">
        <v>266</v>
      </c>
      <c r="V111" t="s">
        <v>267</v>
      </c>
      <c r="W111" t="s">
        <v>249</v>
      </c>
      <c r="X111" t="s">
        <v>270</v>
      </c>
      <c r="Y111" t="s">
        <v>268</v>
      </c>
    </row>
    <row r="112" spans="1:25" x14ac:dyDescent="0.25">
      <c r="A112" t="s">
        <v>210</v>
      </c>
      <c r="B112" t="s">
        <v>257</v>
      </c>
      <c r="C112" t="s">
        <v>270</v>
      </c>
      <c r="D112" t="s">
        <v>269</v>
      </c>
      <c r="E112" t="s">
        <v>265</v>
      </c>
      <c r="F112" t="s">
        <v>250</v>
      </c>
      <c r="G112" t="s">
        <v>256</v>
      </c>
      <c r="H112" t="s">
        <v>263</v>
      </c>
      <c r="I112" t="s">
        <v>251</v>
      </c>
      <c r="J112" t="s">
        <v>253</v>
      </c>
      <c r="K112" t="s">
        <v>267</v>
      </c>
      <c r="L112" t="s">
        <v>264</v>
      </c>
      <c r="M112" t="s">
        <v>252</v>
      </c>
      <c r="N112" t="s">
        <v>255</v>
      </c>
      <c r="O112" t="s">
        <v>266</v>
      </c>
      <c r="P112" t="s">
        <v>271</v>
      </c>
      <c r="Q112" t="s">
        <v>258</v>
      </c>
      <c r="R112" t="s">
        <v>259</v>
      </c>
      <c r="S112" t="s">
        <v>260</v>
      </c>
      <c r="T112" t="s">
        <v>254</v>
      </c>
      <c r="U112" t="s">
        <v>272</v>
      </c>
      <c r="V112" t="s">
        <v>249</v>
      </c>
      <c r="W112" t="s">
        <v>268</v>
      </c>
      <c r="X112" t="s">
        <v>262</v>
      </c>
      <c r="Y112" t="s">
        <v>261</v>
      </c>
    </row>
    <row r="113" spans="1:25" x14ac:dyDescent="0.25">
      <c r="A113" t="s">
        <v>211</v>
      </c>
      <c r="B113" t="s">
        <v>258</v>
      </c>
      <c r="C113" t="s">
        <v>269</v>
      </c>
      <c r="D113" t="s">
        <v>260</v>
      </c>
      <c r="E113" t="s">
        <v>249</v>
      </c>
      <c r="F113" t="s">
        <v>252</v>
      </c>
      <c r="G113" t="s">
        <v>268</v>
      </c>
      <c r="H113" t="s">
        <v>265</v>
      </c>
      <c r="I113" t="s">
        <v>261</v>
      </c>
      <c r="J113" t="s">
        <v>264</v>
      </c>
      <c r="K113" t="s">
        <v>259</v>
      </c>
      <c r="L113" t="s">
        <v>250</v>
      </c>
      <c r="M113" t="s">
        <v>270</v>
      </c>
      <c r="N113" t="s">
        <v>251</v>
      </c>
      <c r="O113" t="s">
        <v>253</v>
      </c>
      <c r="P113" t="s">
        <v>267</v>
      </c>
      <c r="Q113" t="s">
        <v>271</v>
      </c>
      <c r="R113" t="s">
        <v>266</v>
      </c>
      <c r="S113" t="s">
        <v>272</v>
      </c>
      <c r="T113" t="s">
        <v>257</v>
      </c>
      <c r="U113" t="s">
        <v>255</v>
      </c>
      <c r="V113" t="s">
        <v>262</v>
      </c>
      <c r="W113" t="s">
        <v>263</v>
      </c>
      <c r="X113" t="s">
        <v>254</v>
      </c>
      <c r="Y113" t="s">
        <v>256</v>
      </c>
    </row>
    <row r="114" spans="1:25" x14ac:dyDescent="0.25">
      <c r="A114" t="s">
        <v>212</v>
      </c>
      <c r="B114" t="s">
        <v>261</v>
      </c>
      <c r="C114" t="s">
        <v>254</v>
      </c>
      <c r="D114" t="s">
        <v>252</v>
      </c>
      <c r="E114" t="s">
        <v>265</v>
      </c>
      <c r="F114" t="s">
        <v>270</v>
      </c>
      <c r="G114" t="s">
        <v>266</v>
      </c>
      <c r="H114" t="s">
        <v>269</v>
      </c>
      <c r="I114" t="s">
        <v>264</v>
      </c>
      <c r="J114" t="s">
        <v>251</v>
      </c>
      <c r="K114" t="s">
        <v>253</v>
      </c>
      <c r="L114" t="s">
        <v>271</v>
      </c>
      <c r="M114" t="s">
        <v>257</v>
      </c>
      <c r="N114" t="s">
        <v>272</v>
      </c>
      <c r="O114" t="s">
        <v>250</v>
      </c>
      <c r="P114" t="s">
        <v>267</v>
      </c>
      <c r="Q114" t="s">
        <v>263</v>
      </c>
      <c r="R114" t="s">
        <v>260</v>
      </c>
      <c r="S114" t="s">
        <v>255</v>
      </c>
      <c r="T114" t="s">
        <v>259</v>
      </c>
      <c r="U114" t="s">
        <v>258</v>
      </c>
      <c r="V114" t="s">
        <v>249</v>
      </c>
      <c r="W114" t="s">
        <v>268</v>
      </c>
      <c r="X114" t="s">
        <v>256</v>
      </c>
      <c r="Y114" t="s">
        <v>262</v>
      </c>
    </row>
    <row r="115" spans="1:25" x14ac:dyDescent="0.25">
      <c r="A115" t="s">
        <v>213</v>
      </c>
      <c r="B115" t="s">
        <v>263</v>
      </c>
      <c r="C115" t="s">
        <v>255</v>
      </c>
      <c r="D115" t="s">
        <v>268</v>
      </c>
      <c r="E115" t="s">
        <v>257</v>
      </c>
      <c r="F115" t="s">
        <v>265</v>
      </c>
      <c r="G115" t="s">
        <v>271</v>
      </c>
      <c r="H115" t="s">
        <v>266</v>
      </c>
      <c r="I115" t="s">
        <v>250</v>
      </c>
      <c r="J115" t="s">
        <v>249</v>
      </c>
      <c r="K115" t="s">
        <v>251</v>
      </c>
      <c r="L115" t="s">
        <v>252</v>
      </c>
      <c r="M115" t="s">
        <v>253</v>
      </c>
      <c r="N115" t="s">
        <v>262</v>
      </c>
      <c r="O115" t="s">
        <v>260</v>
      </c>
      <c r="P115" t="s">
        <v>264</v>
      </c>
      <c r="Q115" t="s">
        <v>261</v>
      </c>
      <c r="R115" t="s">
        <v>258</v>
      </c>
      <c r="S115" t="s">
        <v>256</v>
      </c>
      <c r="T115" t="s">
        <v>270</v>
      </c>
      <c r="U115" t="s">
        <v>259</v>
      </c>
      <c r="V115" t="s">
        <v>267</v>
      </c>
      <c r="W115" t="s">
        <v>272</v>
      </c>
      <c r="X115" t="s">
        <v>254</v>
      </c>
      <c r="Y115" t="s">
        <v>269</v>
      </c>
    </row>
    <row r="116" spans="1:25" x14ac:dyDescent="0.25">
      <c r="A116" t="s">
        <v>214</v>
      </c>
      <c r="B116" t="s">
        <v>261</v>
      </c>
      <c r="C116" t="s">
        <v>272</v>
      </c>
      <c r="D116" t="s">
        <v>267</v>
      </c>
      <c r="E116" t="s">
        <v>262</v>
      </c>
      <c r="F116" t="s">
        <v>269</v>
      </c>
      <c r="G116" t="s">
        <v>265</v>
      </c>
      <c r="H116" t="s">
        <v>259</v>
      </c>
      <c r="I116" t="s">
        <v>270</v>
      </c>
      <c r="J116" t="s">
        <v>251</v>
      </c>
      <c r="K116" t="s">
        <v>264</v>
      </c>
      <c r="L116" t="s">
        <v>253</v>
      </c>
      <c r="M116" t="s">
        <v>260</v>
      </c>
      <c r="N116" t="s">
        <v>250</v>
      </c>
      <c r="O116" t="s">
        <v>249</v>
      </c>
      <c r="P116" t="s">
        <v>266</v>
      </c>
      <c r="Q116" t="s">
        <v>258</v>
      </c>
      <c r="R116" t="s">
        <v>256</v>
      </c>
      <c r="S116" t="s">
        <v>255</v>
      </c>
      <c r="T116" t="s">
        <v>257</v>
      </c>
      <c r="U116" t="s">
        <v>263</v>
      </c>
      <c r="V116" t="s">
        <v>252</v>
      </c>
      <c r="W116" t="s">
        <v>271</v>
      </c>
      <c r="X116" t="s">
        <v>254</v>
      </c>
      <c r="Y116" t="s">
        <v>268</v>
      </c>
    </row>
    <row r="117" spans="1:25" x14ac:dyDescent="0.25">
      <c r="A117" t="s">
        <v>215</v>
      </c>
      <c r="B117" t="s">
        <v>249</v>
      </c>
      <c r="C117" t="s">
        <v>252</v>
      </c>
      <c r="D117" t="s">
        <v>261</v>
      </c>
      <c r="E117" t="s">
        <v>258</v>
      </c>
      <c r="F117" t="s">
        <v>260</v>
      </c>
      <c r="G117" t="s">
        <v>257</v>
      </c>
      <c r="H117" t="s">
        <v>267</v>
      </c>
      <c r="I117" t="s">
        <v>269</v>
      </c>
      <c r="J117" t="s">
        <v>251</v>
      </c>
      <c r="K117" t="s">
        <v>265</v>
      </c>
      <c r="L117" t="s">
        <v>254</v>
      </c>
      <c r="M117" t="s">
        <v>262</v>
      </c>
      <c r="N117" t="s">
        <v>271</v>
      </c>
      <c r="O117" t="s">
        <v>250</v>
      </c>
      <c r="P117" t="s">
        <v>256</v>
      </c>
      <c r="Q117" t="s">
        <v>255</v>
      </c>
      <c r="R117" t="s">
        <v>253</v>
      </c>
      <c r="S117" t="s">
        <v>266</v>
      </c>
      <c r="T117" t="s">
        <v>264</v>
      </c>
      <c r="U117" t="s">
        <v>270</v>
      </c>
      <c r="V117" t="s">
        <v>259</v>
      </c>
      <c r="W117" t="s">
        <v>263</v>
      </c>
      <c r="X117" t="s">
        <v>268</v>
      </c>
      <c r="Y117" t="s">
        <v>272</v>
      </c>
    </row>
    <row r="118" spans="1:25" x14ac:dyDescent="0.25">
      <c r="A118" t="s">
        <v>216</v>
      </c>
      <c r="B118" t="s">
        <v>258</v>
      </c>
      <c r="C118" t="s">
        <v>265</v>
      </c>
      <c r="D118" t="s">
        <v>270</v>
      </c>
      <c r="E118" t="s">
        <v>257</v>
      </c>
      <c r="F118" t="s">
        <v>266</v>
      </c>
      <c r="G118" t="s">
        <v>251</v>
      </c>
      <c r="H118" t="s">
        <v>249</v>
      </c>
      <c r="I118" t="s">
        <v>261</v>
      </c>
      <c r="J118" t="s">
        <v>263</v>
      </c>
      <c r="K118" t="s">
        <v>250</v>
      </c>
      <c r="L118" t="s">
        <v>267</v>
      </c>
      <c r="M118" t="s">
        <v>256</v>
      </c>
      <c r="N118" t="s">
        <v>268</v>
      </c>
      <c r="O118" t="s">
        <v>271</v>
      </c>
      <c r="P118" t="s">
        <v>269</v>
      </c>
      <c r="Q118" t="s">
        <v>272</v>
      </c>
      <c r="R118" t="s">
        <v>260</v>
      </c>
      <c r="S118" t="s">
        <v>264</v>
      </c>
      <c r="T118" t="s">
        <v>252</v>
      </c>
      <c r="U118" t="s">
        <v>253</v>
      </c>
      <c r="V118" t="s">
        <v>259</v>
      </c>
      <c r="W118" t="s">
        <v>255</v>
      </c>
      <c r="X118" t="s">
        <v>254</v>
      </c>
      <c r="Y118" t="s">
        <v>262</v>
      </c>
    </row>
    <row r="119" spans="1:25" x14ac:dyDescent="0.25">
      <c r="A119" t="s">
        <v>217</v>
      </c>
      <c r="B119" t="s">
        <v>264</v>
      </c>
      <c r="C119" t="s">
        <v>263</v>
      </c>
      <c r="D119" t="s">
        <v>268</v>
      </c>
      <c r="E119" t="s">
        <v>267</v>
      </c>
      <c r="F119" t="s">
        <v>251</v>
      </c>
      <c r="G119" t="s">
        <v>270</v>
      </c>
      <c r="H119" t="s">
        <v>271</v>
      </c>
      <c r="I119" t="s">
        <v>256</v>
      </c>
      <c r="J119" t="s">
        <v>255</v>
      </c>
      <c r="K119" t="s">
        <v>269</v>
      </c>
      <c r="L119" t="s">
        <v>254</v>
      </c>
      <c r="M119" t="s">
        <v>259</v>
      </c>
      <c r="N119" t="s">
        <v>266</v>
      </c>
      <c r="O119" t="s">
        <v>262</v>
      </c>
      <c r="P119" t="s">
        <v>252</v>
      </c>
      <c r="Q119" t="s">
        <v>249</v>
      </c>
      <c r="R119" t="s">
        <v>265</v>
      </c>
      <c r="S119" t="s">
        <v>258</v>
      </c>
      <c r="T119" t="s">
        <v>250</v>
      </c>
      <c r="U119" t="s">
        <v>257</v>
      </c>
      <c r="V119" t="s">
        <v>260</v>
      </c>
      <c r="W119" t="s">
        <v>261</v>
      </c>
      <c r="X119" t="s">
        <v>253</v>
      </c>
      <c r="Y119" t="s">
        <v>272</v>
      </c>
    </row>
    <row r="120" spans="1:25" x14ac:dyDescent="0.25">
      <c r="A120" t="s">
        <v>218</v>
      </c>
      <c r="B120" t="s">
        <v>267</v>
      </c>
      <c r="C120" t="s">
        <v>268</v>
      </c>
      <c r="D120" t="s">
        <v>251</v>
      </c>
      <c r="E120" t="s">
        <v>269</v>
      </c>
      <c r="F120" t="s">
        <v>262</v>
      </c>
      <c r="G120" t="s">
        <v>266</v>
      </c>
      <c r="H120" t="s">
        <v>263</v>
      </c>
      <c r="I120" t="s">
        <v>265</v>
      </c>
      <c r="J120" t="s">
        <v>260</v>
      </c>
      <c r="K120" t="s">
        <v>271</v>
      </c>
      <c r="L120" t="s">
        <v>261</v>
      </c>
      <c r="M120" t="s">
        <v>270</v>
      </c>
      <c r="N120" t="s">
        <v>254</v>
      </c>
      <c r="O120" t="s">
        <v>250</v>
      </c>
      <c r="P120" t="s">
        <v>255</v>
      </c>
      <c r="Q120" t="s">
        <v>256</v>
      </c>
      <c r="R120" t="s">
        <v>272</v>
      </c>
      <c r="S120" t="s">
        <v>259</v>
      </c>
      <c r="T120" t="s">
        <v>249</v>
      </c>
      <c r="U120" t="s">
        <v>252</v>
      </c>
      <c r="V120" t="s">
        <v>253</v>
      </c>
      <c r="W120" t="s">
        <v>257</v>
      </c>
      <c r="X120" t="s">
        <v>264</v>
      </c>
      <c r="Y120" t="s">
        <v>258</v>
      </c>
    </row>
    <row r="121" spans="1:25" x14ac:dyDescent="0.25">
      <c r="A121" t="s">
        <v>219</v>
      </c>
      <c r="B121" t="s">
        <v>261</v>
      </c>
      <c r="C121" t="s">
        <v>258</v>
      </c>
      <c r="D121" t="s">
        <v>256</v>
      </c>
      <c r="E121" t="s">
        <v>262</v>
      </c>
      <c r="F121" t="s">
        <v>250</v>
      </c>
      <c r="G121" t="s">
        <v>254</v>
      </c>
      <c r="H121" t="s">
        <v>255</v>
      </c>
      <c r="I121" t="s">
        <v>265</v>
      </c>
      <c r="J121" t="s">
        <v>267</v>
      </c>
      <c r="K121" t="s">
        <v>271</v>
      </c>
      <c r="L121" t="s">
        <v>252</v>
      </c>
      <c r="M121" t="s">
        <v>269</v>
      </c>
      <c r="N121" t="s">
        <v>268</v>
      </c>
      <c r="O121" t="s">
        <v>259</v>
      </c>
      <c r="P121" t="s">
        <v>260</v>
      </c>
      <c r="Q121" t="s">
        <v>251</v>
      </c>
      <c r="R121" t="s">
        <v>270</v>
      </c>
      <c r="S121" t="s">
        <v>263</v>
      </c>
      <c r="T121" t="s">
        <v>264</v>
      </c>
      <c r="U121" t="s">
        <v>266</v>
      </c>
      <c r="V121" t="s">
        <v>257</v>
      </c>
      <c r="W121" t="s">
        <v>249</v>
      </c>
      <c r="X121" t="s">
        <v>272</v>
      </c>
      <c r="Y121" t="s">
        <v>253</v>
      </c>
    </row>
    <row r="122" spans="1:25" x14ac:dyDescent="0.25">
      <c r="A122" t="s">
        <v>220</v>
      </c>
      <c r="B122" t="s">
        <v>269</v>
      </c>
      <c r="C122" t="s">
        <v>264</v>
      </c>
      <c r="D122" t="s">
        <v>251</v>
      </c>
      <c r="E122" t="s">
        <v>249</v>
      </c>
      <c r="F122" t="s">
        <v>257</v>
      </c>
      <c r="G122" t="s">
        <v>268</v>
      </c>
      <c r="H122" t="s">
        <v>255</v>
      </c>
      <c r="I122" t="s">
        <v>263</v>
      </c>
      <c r="J122" t="s">
        <v>261</v>
      </c>
      <c r="K122" t="s">
        <v>262</v>
      </c>
      <c r="L122" t="s">
        <v>258</v>
      </c>
      <c r="M122" t="s">
        <v>272</v>
      </c>
      <c r="N122" t="s">
        <v>250</v>
      </c>
      <c r="O122" t="s">
        <v>254</v>
      </c>
      <c r="P122" t="s">
        <v>270</v>
      </c>
      <c r="Q122" t="s">
        <v>259</v>
      </c>
      <c r="R122" t="s">
        <v>267</v>
      </c>
      <c r="S122" t="s">
        <v>256</v>
      </c>
      <c r="T122" t="s">
        <v>253</v>
      </c>
      <c r="U122" t="s">
        <v>271</v>
      </c>
      <c r="V122" t="s">
        <v>260</v>
      </c>
      <c r="W122" t="s">
        <v>266</v>
      </c>
      <c r="X122" t="s">
        <v>265</v>
      </c>
      <c r="Y122" t="s">
        <v>252</v>
      </c>
    </row>
    <row r="123" spans="1:25" x14ac:dyDescent="0.25">
      <c r="A123" t="s">
        <v>221</v>
      </c>
      <c r="B123" t="s">
        <v>265</v>
      </c>
      <c r="C123" t="s">
        <v>258</v>
      </c>
      <c r="D123" t="s">
        <v>271</v>
      </c>
      <c r="E123" t="s">
        <v>250</v>
      </c>
      <c r="F123" t="s">
        <v>251</v>
      </c>
      <c r="G123" t="s">
        <v>267</v>
      </c>
      <c r="H123" t="s">
        <v>254</v>
      </c>
      <c r="I123" t="s">
        <v>255</v>
      </c>
      <c r="J123" t="s">
        <v>268</v>
      </c>
      <c r="K123" t="s">
        <v>264</v>
      </c>
      <c r="L123" t="s">
        <v>260</v>
      </c>
      <c r="M123" t="s">
        <v>272</v>
      </c>
      <c r="N123" t="s">
        <v>249</v>
      </c>
      <c r="O123" t="s">
        <v>261</v>
      </c>
      <c r="P123" t="s">
        <v>253</v>
      </c>
      <c r="Q123" t="s">
        <v>269</v>
      </c>
      <c r="R123" t="s">
        <v>263</v>
      </c>
      <c r="S123" t="s">
        <v>270</v>
      </c>
      <c r="T123" t="s">
        <v>252</v>
      </c>
      <c r="U123" t="s">
        <v>266</v>
      </c>
      <c r="V123" t="s">
        <v>259</v>
      </c>
      <c r="W123" t="s">
        <v>256</v>
      </c>
      <c r="X123" t="s">
        <v>262</v>
      </c>
      <c r="Y123" t="s">
        <v>257</v>
      </c>
    </row>
    <row r="124" spans="1:25" x14ac:dyDescent="0.25">
      <c r="A124" t="s">
        <v>222</v>
      </c>
      <c r="B124" t="s">
        <v>269</v>
      </c>
      <c r="C124" t="s">
        <v>268</v>
      </c>
      <c r="D124" t="s">
        <v>272</v>
      </c>
      <c r="E124" t="s">
        <v>253</v>
      </c>
      <c r="F124" t="s">
        <v>256</v>
      </c>
      <c r="G124" t="s">
        <v>263</v>
      </c>
      <c r="H124" t="s">
        <v>267</v>
      </c>
      <c r="I124" t="s">
        <v>262</v>
      </c>
      <c r="J124" t="s">
        <v>255</v>
      </c>
      <c r="K124" t="s">
        <v>265</v>
      </c>
      <c r="L124" t="s">
        <v>250</v>
      </c>
      <c r="M124" t="s">
        <v>249</v>
      </c>
      <c r="N124" t="s">
        <v>271</v>
      </c>
      <c r="O124" t="s">
        <v>261</v>
      </c>
      <c r="P124" t="s">
        <v>252</v>
      </c>
      <c r="Q124" t="s">
        <v>259</v>
      </c>
      <c r="R124" t="s">
        <v>260</v>
      </c>
      <c r="S124" t="s">
        <v>258</v>
      </c>
      <c r="T124" t="s">
        <v>266</v>
      </c>
      <c r="U124" t="s">
        <v>270</v>
      </c>
      <c r="V124" t="s">
        <v>251</v>
      </c>
      <c r="W124" t="s">
        <v>254</v>
      </c>
      <c r="X124" t="s">
        <v>264</v>
      </c>
      <c r="Y124" t="s">
        <v>257</v>
      </c>
    </row>
    <row r="125" spans="1:25" x14ac:dyDescent="0.25">
      <c r="A125" t="s">
        <v>223</v>
      </c>
      <c r="B125" t="s">
        <v>270</v>
      </c>
      <c r="C125" t="s">
        <v>263</v>
      </c>
      <c r="D125" t="s">
        <v>255</v>
      </c>
      <c r="E125" t="s">
        <v>253</v>
      </c>
      <c r="F125" t="s">
        <v>260</v>
      </c>
      <c r="G125" t="s">
        <v>254</v>
      </c>
      <c r="H125" t="s">
        <v>256</v>
      </c>
      <c r="I125" t="s">
        <v>272</v>
      </c>
      <c r="J125" t="s">
        <v>257</v>
      </c>
      <c r="K125" t="s">
        <v>259</v>
      </c>
      <c r="L125" t="s">
        <v>271</v>
      </c>
      <c r="M125" t="s">
        <v>262</v>
      </c>
      <c r="N125" t="s">
        <v>251</v>
      </c>
      <c r="O125" t="s">
        <v>261</v>
      </c>
      <c r="P125" t="s">
        <v>269</v>
      </c>
      <c r="Q125" t="s">
        <v>258</v>
      </c>
      <c r="R125" t="s">
        <v>266</v>
      </c>
      <c r="S125" t="s">
        <v>264</v>
      </c>
      <c r="T125" t="s">
        <v>252</v>
      </c>
      <c r="U125" t="s">
        <v>250</v>
      </c>
      <c r="V125" t="s">
        <v>249</v>
      </c>
      <c r="W125" t="s">
        <v>265</v>
      </c>
      <c r="X125" t="s">
        <v>268</v>
      </c>
      <c r="Y125" t="s">
        <v>267</v>
      </c>
    </row>
    <row r="126" spans="1:25" x14ac:dyDescent="0.25">
      <c r="A126" t="s">
        <v>224</v>
      </c>
      <c r="B126" t="s">
        <v>267</v>
      </c>
      <c r="C126" t="s">
        <v>265</v>
      </c>
      <c r="D126" t="s">
        <v>271</v>
      </c>
      <c r="E126" t="s">
        <v>255</v>
      </c>
      <c r="F126" t="s">
        <v>269</v>
      </c>
      <c r="G126" t="s">
        <v>268</v>
      </c>
      <c r="H126" t="s">
        <v>254</v>
      </c>
      <c r="I126" t="s">
        <v>258</v>
      </c>
      <c r="J126" t="s">
        <v>253</v>
      </c>
      <c r="K126" t="s">
        <v>272</v>
      </c>
      <c r="L126" t="s">
        <v>260</v>
      </c>
      <c r="M126" t="s">
        <v>259</v>
      </c>
      <c r="N126" t="s">
        <v>263</v>
      </c>
      <c r="O126" t="s">
        <v>252</v>
      </c>
      <c r="P126" t="s">
        <v>250</v>
      </c>
      <c r="Q126" t="s">
        <v>251</v>
      </c>
      <c r="R126" t="s">
        <v>261</v>
      </c>
      <c r="S126" t="s">
        <v>270</v>
      </c>
      <c r="T126" t="s">
        <v>257</v>
      </c>
      <c r="U126" t="s">
        <v>264</v>
      </c>
      <c r="V126" t="s">
        <v>249</v>
      </c>
      <c r="W126" t="s">
        <v>262</v>
      </c>
      <c r="X126" t="s">
        <v>266</v>
      </c>
      <c r="Y126" t="s">
        <v>256</v>
      </c>
    </row>
    <row r="127" spans="1:25" x14ac:dyDescent="0.25">
      <c r="A127" t="s">
        <v>273</v>
      </c>
      <c r="B127" t="s">
        <v>259</v>
      </c>
      <c r="C127" t="s">
        <v>253</v>
      </c>
      <c r="D127" t="s">
        <v>270</v>
      </c>
      <c r="E127" t="s">
        <v>264</v>
      </c>
      <c r="F127" t="s">
        <v>249</v>
      </c>
      <c r="G127" t="s">
        <v>254</v>
      </c>
      <c r="H127" t="s">
        <v>256</v>
      </c>
      <c r="I127" t="s">
        <v>261</v>
      </c>
      <c r="J127" t="s">
        <v>258</v>
      </c>
      <c r="K127" t="s">
        <v>262</v>
      </c>
      <c r="L127" t="s">
        <v>269</v>
      </c>
      <c r="M127" t="s">
        <v>263</v>
      </c>
      <c r="N127" t="s">
        <v>266</v>
      </c>
      <c r="O127" t="s">
        <v>257</v>
      </c>
      <c r="P127" t="s">
        <v>252</v>
      </c>
      <c r="Q127" t="s">
        <v>265</v>
      </c>
      <c r="R127" t="s">
        <v>255</v>
      </c>
      <c r="S127" t="s">
        <v>260</v>
      </c>
      <c r="T127" t="s">
        <v>272</v>
      </c>
      <c r="U127" t="s">
        <v>267</v>
      </c>
      <c r="V127" t="s">
        <v>271</v>
      </c>
      <c r="W127" t="s">
        <v>268</v>
      </c>
      <c r="X127" t="s">
        <v>251</v>
      </c>
      <c r="Y127" t="s">
        <v>250</v>
      </c>
    </row>
    <row r="128" spans="1:25" x14ac:dyDescent="0.25">
      <c r="A128" t="s">
        <v>274</v>
      </c>
      <c r="B128" t="s">
        <v>259</v>
      </c>
      <c r="C128" t="s">
        <v>258</v>
      </c>
      <c r="D128" t="s">
        <v>262</v>
      </c>
      <c r="E128" t="s">
        <v>271</v>
      </c>
      <c r="F128" t="s">
        <v>249</v>
      </c>
      <c r="G128" t="s">
        <v>250</v>
      </c>
      <c r="H128" t="s">
        <v>255</v>
      </c>
      <c r="I128" t="s">
        <v>261</v>
      </c>
      <c r="J128" t="s">
        <v>269</v>
      </c>
      <c r="K128" t="s">
        <v>270</v>
      </c>
      <c r="L128" t="s">
        <v>253</v>
      </c>
      <c r="M128" t="s">
        <v>251</v>
      </c>
      <c r="N128" t="s">
        <v>272</v>
      </c>
      <c r="O128" t="s">
        <v>263</v>
      </c>
      <c r="P128" t="s">
        <v>256</v>
      </c>
      <c r="Q128" t="s">
        <v>260</v>
      </c>
      <c r="R128" t="s">
        <v>264</v>
      </c>
      <c r="S128" t="s">
        <v>268</v>
      </c>
      <c r="T128" t="s">
        <v>257</v>
      </c>
      <c r="U128" t="s">
        <v>252</v>
      </c>
      <c r="V128" t="s">
        <v>265</v>
      </c>
      <c r="W128" t="s">
        <v>267</v>
      </c>
      <c r="X128" t="s">
        <v>266</v>
      </c>
      <c r="Y128" t="s">
        <v>254</v>
      </c>
    </row>
    <row r="129" spans="1:25" x14ac:dyDescent="0.25">
      <c r="A129" t="s">
        <v>275</v>
      </c>
      <c r="B129" t="s">
        <v>250</v>
      </c>
      <c r="C129" t="s">
        <v>262</v>
      </c>
      <c r="D129" t="s">
        <v>255</v>
      </c>
      <c r="E129" t="s">
        <v>272</v>
      </c>
      <c r="F129" t="s">
        <v>259</v>
      </c>
      <c r="G129" t="s">
        <v>271</v>
      </c>
      <c r="H129" t="s">
        <v>249</v>
      </c>
      <c r="I129" t="s">
        <v>268</v>
      </c>
      <c r="J129" t="s">
        <v>263</v>
      </c>
      <c r="K129" t="s">
        <v>270</v>
      </c>
      <c r="L129" t="s">
        <v>266</v>
      </c>
      <c r="M129" t="s">
        <v>258</v>
      </c>
      <c r="N129" t="s">
        <v>256</v>
      </c>
      <c r="O129" t="s">
        <v>253</v>
      </c>
      <c r="P129" t="s">
        <v>264</v>
      </c>
      <c r="Q129" t="s">
        <v>252</v>
      </c>
      <c r="R129" t="s">
        <v>260</v>
      </c>
      <c r="S129" t="s">
        <v>261</v>
      </c>
      <c r="T129" t="s">
        <v>267</v>
      </c>
      <c r="U129" t="s">
        <v>254</v>
      </c>
      <c r="V129" t="s">
        <v>251</v>
      </c>
      <c r="W129" t="s">
        <v>265</v>
      </c>
      <c r="X129" t="s">
        <v>269</v>
      </c>
      <c r="Y129" t="s">
        <v>257</v>
      </c>
    </row>
    <row r="130" spans="1:25" x14ac:dyDescent="0.25">
      <c r="A130" t="s">
        <v>276</v>
      </c>
      <c r="B130" t="s">
        <v>255</v>
      </c>
      <c r="C130" t="s">
        <v>263</v>
      </c>
      <c r="D130" t="s">
        <v>249</v>
      </c>
      <c r="E130" t="s">
        <v>258</v>
      </c>
      <c r="F130" t="s">
        <v>269</v>
      </c>
      <c r="G130" t="s">
        <v>250</v>
      </c>
      <c r="H130" t="s">
        <v>256</v>
      </c>
      <c r="I130" t="s">
        <v>251</v>
      </c>
      <c r="J130" t="s">
        <v>254</v>
      </c>
      <c r="K130" t="s">
        <v>261</v>
      </c>
      <c r="L130" t="s">
        <v>267</v>
      </c>
      <c r="M130" t="s">
        <v>270</v>
      </c>
      <c r="N130" t="s">
        <v>259</v>
      </c>
      <c r="O130" t="s">
        <v>271</v>
      </c>
      <c r="P130" t="s">
        <v>253</v>
      </c>
      <c r="Q130" t="s">
        <v>252</v>
      </c>
      <c r="R130" t="s">
        <v>266</v>
      </c>
      <c r="S130" t="s">
        <v>257</v>
      </c>
      <c r="T130" t="s">
        <v>264</v>
      </c>
      <c r="U130" t="s">
        <v>262</v>
      </c>
      <c r="V130" t="s">
        <v>260</v>
      </c>
      <c r="W130" t="s">
        <v>272</v>
      </c>
      <c r="X130" t="s">
        <v>268</v>
      </c>
      <c r="Y130" t="s">
        <v>265</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92AC8-90A8-4517-A047-B84BDAFDFF06}">
  <sheetPr codeName="Feuil3"/>
  <dimension ref="A1:W25"/>
  <sheetViews>
    <sheetView workbookViewId="0">
      <selection activeCell="D23" sqref="D23"/>
    </sheetView>
  </sheetViews>
  <sheetFormatPr baseColWidth="10" defaultRowHeight="15" x14ac:dyDescent="0.25"/>
  <cols>
    <col min="1" max="1" width="8.5703125" bestFit="1" customWidth="1"/>
    <col min="2" max="2" width="11.5703125" bestFit="1" customWidth="1"/>
    <col min="3" max="3" width="11.85546875" bestFit="1" customWidth="1"/>
    <col min="4" max="4" width="15.42578125" bestFit="1" customWidth="1"/>
    <col min="5" max="5" width="15.7109375" bestFit="1" customWidth="1"/>
    <col min="6" max="14" width="8.7109375" bestFit="1" customWidth="1"/>
    <col min="15" max="42" width="9.7109375" bestFit="1" customWidth="1"/>
    <col min="43" max="102" width="8.42578125" bestFit="1" customWidth="1"/>
    <col min="103" max="103" width="9.42578125" bestFit="1" customWidth="1"/>
  </cols>
  <sheetData>
    <row r="1" spans="1:23" s="2" customFormat="1" x14ac:dyDescent="0.25">
      <c r="A1" s="2" t="s">
        <v>5</v>
      </c>
      <c r="B1" s="2" t="s">
        <v>88</v>
      </c>
      <c r="C1" s="2" t="s">
        <v>89</v>
      </c>
      <c r="D1" s="2" t="s">
        <v>90</v>
      </c>
      <c r="E1" s="2" t="s">
        <v>91</v>
      </c>
      <c r="F1" s="2" t="s">
        <v>85</v>
      </c>
      <c r="G1" s="2" t="s">
        <v>86</v>
      </c>
      <c r="H1" s="2" t="s">
        <v>87</v>
      </c>
      <c r="I1" s="2" t="s">
        <v>226</v>
      </c>
      <c r="J1" s="2" t="s">
        <v>227</v>
      </c>
      <c r="K1" s="2" t="s">
        <v>228</v>
      </c>
      <c r="L1" s="2" t="s">
        <v>229</v>
      </c>
      <c r="M1" s="2" t="s">
        <v>230</v>
      </c>
      <c r="N1" s="2" t="s">
        <v>231</v>
      </c>
      <c r="O1" s="2" t="s">
        <v>232</v>
      </c>
      <c r="P1" s="2" t="s">
        <v>233</v>
      </c>
      <c r="Q1" s="2" t="s">
        <v>234</v>
      </c>
      <c r="R1" s="2" t="s">
        <v>235</v>
      </c>
      <c r="S1" s="2" t="s">
        <v>236</v>
      </c>
      <c r="T1" s="2" t="s">
        <v>237</v>
      </c>
      <c r="U1" s="2" t="s">
        <v>238</v>
      </c>
      <c r="V1" s="2" t="s">
        <v>239</v>
      </c>
      <c r="W1" s="2" t="s">
        <v>240</v>
      </c>
    </row>
    <row r="2" spans="1:23" x14ac:dyDescent="0.25">
      <c r="A2" t="s">
        <v>249</v>
      </c>
      <c r="B2">
        <v>2</v>
      </c>
      <c r="C2">
        <v>2</v>
      </c>
      <c r="D2">
        <v>4</v>
      </c>
      <c r="E2">
        <v>9</v>
      </c>
      <c r="F2">
        <v>1</v>
      </c>
      <c r="G2">
        <v>15</v>
      </c>
      <c r="H2">
        <v>8</v>
      </c>
      <c r="I2">
        <v>18</v>
      </c>
      <c r="J2">
        <v>2</v>
      </c>
      <c r="K2">
        <v>10</v>
      </c>
      <c r="L2">
        <v>3</v>
      </c>
      <c r="M2">
        <v>16</v>
      </c>
      <c r="N2">
        <v>13</v>
      </c>
      <c r="O2">
        <v>11</v>
      </c>
      <c r="P2">
        <v>7</v>
      </c>
      <c r="Q2">
        <v>9</v>
      </c>
      <c r="R2">
        <v>17</v>
      </c>
      <c r="S2">
        <v>6</v>
      </c>
      <c r="T2">
        <v>5</v>
      </c>
      <c r="U2">
        <v>14</v>
      </c>
      <c r="V2">
        <v>4</v>
      </c>
      <c r="W2">
        <v>12</v>
      </c>
    </row>
    <row r="3" spans="1:23" x14ac:dyDescent="0.25">
      <c r="A3" t="s">
        <v>254</v>
      </c>
      <c r="B3">
        <v>2</v>
      </c>
      <c r="C3">
        <v>4</v>
      </c>
      <c r="D3">
        <v>4</v>
      </c>
      <c r="E3">
        <v>9</v>
      </c>
      <c r="F3">
        <v>14</v>
      </c>
      <c r="G3">
        <v>2</v>
      </c>
      <c r="H3">
        <v>3</v>
      </c>
      <c r="I3">
        <v>4</v>
      </c>
      <c r="J3">
        <v>15</v>
      </c>
      <c r="K3">
        <v>8</v>
      </c>
      <c r="L3">
        <v>17</v>
      </c>
      <c r="M3">
        <v>13</v>
      </c>
      <c r="N3">
        <v>5</v>
      </c>
      <c r="O3">
        <v>9</v>
      </c>
      <c r="P3">
        <v>16</v>
      </c>
      <c r="Q3">
        <v>18</v>
      </c>
      <c r="R3">
        <v>1</v>
      </c>
      <c r="S3">
        <v>7</v>
      </c>
      <c r="T3">
        <v>12</v>
      </c>
      <c r="U3">
        <v>6</v>
      </c>
      <c r="V3">
        <v>11</v>
      </c>
      <c r="W3">
        <v>10</v>
      </c>
    </row>
    <row r="4" spans="1:23" x14ac:dyDescent="0.25">
      <c r="A4" t="s">
        <v>268</v>
      </c>
      <c r="B4">
        <v>1</v>
      </c>
      <c r="C4">
        <v>1</v>
      </c>
      <c r="D4">
        <v>4</v>
      </c>
      <c r="E4">
        <v>9</v>
      </c>
      <c r="F4">
        <v>2</v>
      </c>
      <c r="G4">
        <v>3</v>
      </c>
      <c r="H4">
        <v>6</v>
      </c>
      <c r="I4">
        <v>13</v>
      </c>
      <c r="J4">
        <v>9</v>
      </c>
      <c r="K4">
        <v>7</v>
      </c>
      <c r="L4">
        <v>1</v>
      </c>
      <c r="M4">
        <v>15</v>
      </c>
      <c r="N4">
        <v>4</v>
      </c>
      <c r="O4">
        <v>8</v>
      </c>
      <c r="P4">
        <v>10</v>
      </c>
      <c r="Q4">
        <v>14</v>
      </c>
      <c r="R4">
        <v>18</v>
      </c>
      <c r="S4">
        <v>11</v>
      </c>
      <c r="T4">
        <v>17</v>
      </c>
      <c r="U4">
        <v>12</v>
      </c>
      <c r="V4">
        <v>16</v>
      </c>
      <c r="W4">
        <v>5</v>
      </c>
    </row>
    <row r="5" spans="1:23" x14ac:dyDescent="0.25">
      <c r="A5" t="s">
        <v>272</v>
      </c>
      <c r="B5">
        <v>1</v>
      </c>
      <c r="C5">
        <v>2</v>
      </c>
      <c r="D5">
        <v>4</v>
      </c>
      <c r="E5">
        <v>9</v>
      </c>
      <c r="F5">
        <v>10</v>
      </c>
      <c r="G5">
        <v>1</v>
      </c>
      <c r="H5">
        <v>14</v>
      </c>
      <c r="I5">
        <v>16</v>
      </c>
      <c r="J5">
        <v>7</v>
      </c>
      <c r="K5">
        <v>12</v>
      </c>
      <c r="L5">
        <v>11</v>
      </c>
      <c r="M5">
        <v>15</v>
      </c>
      <c r="N5">
        <v>5</v>
      </c>
      <c r="O5">
        <v>9</v>
      </c>
      <c r="P5">
        <v>2</v>
      </c>
      <c r="Q5">
        <v>3</v>
      </c>
      <c r="R5">
        <v>4</v>
      </c>
      <c r="S5">
        <v>17</v>
      </c>
      <c r="T5">
        <v>18</v>
      </c>
      <c r="U5">
        <v>8</v>
      </c>
      <c r="V5">
        <v>6</v>
      </c>
      <c r="W5">
        <v>13</v>
      </c>
    </row>
    <row r="6" spans="1:23" x14ac:dyDescent="0.25">
      <c r="A6" t="s">
        <v>255</v>
      </c>
      <c r="B6">
        <v>1</v>
      </c>
      <c r="C6">
        <v>3</v>
      </c>
      <c r="D6">
        <v>4</v>
      </c>
      <c r="E6">
        <v>9</v>
      </c>
      <c r="F6">
        <v>11</v>
      </c>
      <c r="G6">
        <v>3</v>
      </c>
      <c r="H6">
        <v>18</v>
      </c>
      <c r="I6">
        <v>15</v>
      </c>
      <c r="J6">
        <v>14</v>
      </c>
      <c r="K6">
        <v>17</v>
      </c>
      <c r="L6">
        <v>7</v>
      </c>
      <c r="M6">
        <v>5</v>
      </c>
      <c r="N6">
        <v>2</v>
      </c>
      <c r="O6">
        <v>12</v>
      </c>
      <c r="P6">
        <v>6</v>
      </c>
      <c r="Q6">
        <v>13</v>
      </c>
      <c r="R6">
        <v>4</v>
      </c>
      <c r="S6">
        <v>9</v>
      </c>
      <c r="T6">
        <v>16</v>
      </c>
      <c r="U6">
        <v>10</v>
      </c>
      <c r="V6">
        <v>8</v>
      </c>
      <c r="W6">
        <v>1</v>
      </c>
    </row>
    <row r="7" spans="1:23" x14ac:dyDescent="0.25">
      <c r="A7" t="s">
        <v>270</v>
      </c>
      <c r="B7">
        <v>1</v>
      </c>
      <c r="C7">
        <v>2</v>
      </c>
      <c r="D7">
        <v>4</v>
      </c>
      <c r="E7">
        <v>9</v>
      </c>
      <c r="F7">
        <v>9</v>
      </c>
      <c r="G7">
        <v>8</v>
      </c>
      <c r="H7">
        <v>17</v>
      </c>
      <c r="I7">
        <v>13</v>
      </c>
      <c r="J7">
        <v>7</v>
      </c>
      <c r="K7">
        <v>2</v>
      </c>
      <c r="L7">
        <v>4</v>
      </c>
      <c r="M7">
        <v>14</v>
      </c>
      <c r="N7">
        <v>3</v>
      </c>
      <c r="O7">
        <v>18</v>
      </c>
      <c r="P7">
        <v>12</v>
      </c>
      <c r="Q7">
        <v>11</v>
      </c>
      <c r="R7">
        <v>6</v>
      </c>
      <c r="S7">
        <v>16</v>
      </c>
      <c r="T7">
        <v>5</v>
      </c>
      <c r="U7">
        <v>15</v>
      </c>
      <c r="V7">
        <v>10</v>
      </c>
      <c r="W7">
        <v>1</v>
      </c>
    </row>
    <row r="8" spans="1:23" x14ac:dyDescent="0.25">
      <c r="A8" t="s">
        <v>263</v>
      </c>
      <c r="B8">
        <v>1</v>
      </c>
      <c r="C8">
        <v>2</v>
      </c>
      <c r="D8">
        <v>4</v>
      </c>
      <c r="E8">
        <v>9</v>
      </c>
      <c r="F8">
        <v>2</v>
      </c>
      <c r="G8">
        <v>18</v>
      </c>
      <c r="H8">
        <v>4</v>
      </c>
      <c r="I8">
        <v>14</v>
      </c>
      <c r="J8">
        <v>7</v>
      </c>
      <c r="K8">
        <v>9</v>
      </c>
      <c r="L8">
        <v>11</v>
      </c>
      <c r="M8">
        <v>8</v>
      </c>
      <c r="N8">
        <v>16</v>
      </c>
      <c r="O8">
        <v>15</v>
      </c>
      <c r="P8">
        <v>17</v>
      </c>
      <c r="Q8">
        <v>3</v>
      </c>
      <c r="R8">
        <v>5</v>
      </c>
      <c r="S8">
        <v>12</v>
      </c>
      <c r="T8">
        <v>13</v>
      </c>
      <c r="U8">
        <v>10</v>
      </c>
      <c r="V8">
        <v>1</v>
      </c>
      <c r="W8">
        <v>6</v>
      </c>
    </row>
    <row r="9" spans="1:23" x14ac:dyDescent="0.25">
      <c r="A9" t="s">
        <v>261</v>
      </c>
      <c r="B9">
        <v>2</v>
      </c>
      <c r="C9">
        <v>3</v>
      </c>
      <c r="D9">
        <v>4</v>
      </c>
      <c r="E9">
        <v>9</v>
      </c>
      <c r="F9">
        <v>15</v>
      </c>
      <c r="G9">
        <v>12</v>
      </c>
      <c r="H9">
        <v>3</v>
      </c>
      <c r="I9">
        <v>18</v>
      </c>
      <c r="J9">
        <v>8</v>
      </c>
      <c r="K9">
        <v>10</v>
      </c>
      <c r="L9">
        <v>13</v>
      </c>
      <c r="M9">
        <v>11</v>
      </c>
      <c r="N9">
        <v>16</v>
      </c>
      <c r="O9">
        <v>9</v>
      </c>
      <c r="P9">
        <v>4</v>
      </c>
      <c r="Q9">
        <v>17</v>
      </c>
      <c r="R9">
        <v>5</v>
      </c>
      <c r="S9">
        <v>6</v>
      </c>
      <c r="T9">
        <v>2</v>
      </c>
      <c r="U9">
        <v>7</v>
      </c>
      <c r="V9">
        <v>1</v>
      </c>
      <c r="W9">
        <v>14</v>
      </c>
    </row>
    <row r="10" spans="1:23" x14ac:dyDescent="0.25">
      <c r="A10" t="s">
        <v>250</v>
      </c>
      <c r="B10">
        <v>1</v>
      </c>
      <c r="C10">
        <v>1</v>
      </c>
      <c r="D10">
        <v>4</v>
      </c>
      <c r="E10">
        <v>9</v>
      </c>
      <c r="F10">
        <v>11</v>
      </c>
      <c r="G10">
        <v>1</v>
      </c>
      <c r="H10">
        <v>14</v>
      </c>
      <c r="I10">
        <v>8</v>
      </c>
      <c r="J10">
        <v>12</v>
      </c>
      <c r="K10">
        <v>10</v>
      </c>
      <c r="L10">
        <v>15</v>
      </c>
      <c r="M10">
        <v>18</v>
      </c>
      <c r="N10">
        <v>16</v>
      </c>
      <c r="O10">
        <v>3</v>
      </c>
      <c r="P10">
        <v>17</v>
      </c>
      <c r="Q10">
        <v>13</v>
      </c>
      <c r="R10">
        <v>4</v>
      </c>
      <c r="S10">
        <v>6</v>
      </c>
      <c r="T10">
        <v>5</v>
      </c>
      <c r="U10">
        <v>2</v>
      </c>
      <c r="V10">
        <v>9</v>
      </c>
      <c r="W10">
        <v>7</v>
      </c>
    </row>
    <row r="11" spans="1:23" x14ac:dyDescent="0.25">
      <c r="A11" t="s">
        <v>267</v>
      </c>
      <c r="B11">
        <v>2</v>
      </c>
      <c r="C11">
        <v>4</v>
      </c>
      <c r="D11">
        <v>4</v>
      </c>
      <c r="E11">
        <v>9</v>
      </c>
      <c r="F11">
        <v>8</v>
      </c>
      <c r="G11">
        <v>2</v>
      </c>
      <c r="H11">
        <v>11</v>
      </c>
      <c r="I11">
        <v>7</v>
      </c>
      <c r="J11">
        <v>4</v>
      </c>
      <c r="K11">
        <v>5</v>
      </c>
      <c r="L11">
        <v>15</v>
      </c>
      <c r="M11">
        <v>14</v>
      </c>
      <c r="N11">
        <v>6</v>
      </c>
      <c r="O11">
        <v>16</v>
      </c>
      <c r="P11">
        <v>3</v>
      </c>
      <c r="Q11">
        <v>13</v>
      </c>
      <c r="R11">
        <v>18</v>
      </c>
      <c r="S11">
        <v>12</v>
      </c>
      <c r="T11">
        <v>1</v>
      </c>
      <c r="U11">
        <v>17</v>
      </c>
      <c r="V11">
        <v>10</v>
      </c>
      <c r="W11">
        <v>9</v>
      </c>
    </row>
    <row r="12" spans="1:23" x14ac:dyDescent="0.25">
      <c r="A12" t="s">
        <v>259</v>
      </c>
      <c r="B12">
        <v>2</v>
      </c>
      <c r="C12">
        <v>3</v>
      </c>
      <c r="D12">
        <v>4</v>
      </c>
      <c r="E12">
        <v>9</v>
      </c>
      <c r="F12">
        <v>15</v>
      </c>
      <c r="G12">
        <v>18</v>
      </c>
      <c r="H12">
        <v>8</v>
      </c>
      <c r="I12">
        <v>5</v>
      </c>
      <c r="J12">
        <v>10</v>
      </c>
      <c r="K12">
        <v>6</v>
      </c>
      <c r="L12">
        <v>16</v>
      </c>
      <c r="M12">
        <v>12</v>
      </c>
      <c r="N12">
        <v>13</v>
      </c>
      <c r="O12">
        <v>9</v>
      </c>
      <c r="P12">
        <v>11</v>
      </c>
      <c r="Q12">
        <v>1</v>
      </c>
      <c r="R12">
        <v>14</v>
      </c>
      <c r="S12">
        <v>4</v>
      </c>
      <c r="T12">
        <v>2</v>
      </c>
      <c r="U12">
        <v>7</v>
      </c>
      <c r="V12">
        <v>3</v>
      </c>
      <c r="W12">
        <v>17</v>
      </c>
    </row>
    <row r="13" spans="1:23" x14ac:dyDescent="0.25">
      <c r="A13" t="s">
        <v>251</v>
      </c>
      <c r="B13">
        <v>1</v>
      </c>
      <c r="C13">
        <v>1</v>
      </c>
      <c r="D13">
        <v>4</v>
      </c>
      <c r="E13">
        <v>9</v>
      </c>
      <c r="F13">
        <v>9</v>
      </c>
      <c r="G13">
        <v>2</v>
      </c>
      <c r="H13">
        <v>18</v>
      </c>
      <c r="I13">
        <v>8</v>
      </c>
      <c r="J13">
        <v>14</v>
      </c>
      <c r="K13">
        <v>1</v>
      </c>
      <c r="L13">
        <v>5</v>
      </c>
      <c r="M13">
        <v>4</v>
      </c>
      <c r="N13">
        <v>16</v>
      </c>
      <c r="O13">
        <v>12</v>
      </c>
      <c r="P13">
        <v>17</v>
      </c>
      <c r="Q13">
        <v>6</v>
      </c>
      <c r="R13">
        <v>11</v>
      </c>
      <c r="S13">
        <v>10</v>
      </c>
      <c r="T13">
        <v>3</v>
      </c>
      <c r="U13">
        <v>15</v>
      </c>
      <c r="V13">
        <v>13</v>
      </c>
      <c r="W13">
        <v>7</v>
      </c>
    </row>
    <row r="14" spans="1:23" x14ac:dyDescent="0.25">
      <c r="A14" t="s">
        <v>264</v>
      </c>
      <c r="B14">
        <v>1</v>
      </c>
      <c r="C14">
        <v>2</v>
      </c>
      <c r="D14">
        <v>4</v>
      </c>
      <c r="E14">
        <v>9</v>
      </c>
      <c r="F14">
        <v>11</v>
      </c>
      <c r="G14">
        <v>15</v>
      </c>
      <c r="H14">
        <v>17</v>
      </c>
      <c r="I14">
        <v>6</v>
      </c>
      <c r="J14">
        <v>1</v>
      </c>
      <c r="K14">
        <v>12</v>
      </c>
      <c r="L14">
        <v>2</v>
      </c>
      <c r="M14">
        <v>7</v>
      </c>
      <c r="N14">
        <v>9</v>
      </c>
      <c r="O14">
        <v>3</v>
      </c>
      <c r="P14">
        <v>18</v>
      </c>
      <c r="Q14">
        <v>4</v>
      </c>
      <c r="R14">
        <v>5</v>
      </c>
      <c r="S14">
        <v>14</v>
      </c>
      <c r="T14">
        <v>13</v>
      </c>
      <c r="U14">
        <v>16</v>
      </c>
      <c r="V14">
        <v>10</v>
      </c>
      <c r="W14">
        <v>8</v>
      </c>
    </row>
    <row r="15" spans="1:23" x14ac:dyDescent="0.25">
      <c r="A15" t="s">
        <v>258</v>
      </c>
      <c r="B15">
        <v>2</v>
      </c>
      <c r="C15">
        <v>4</v>
      </c>
      <c r="D15">
        <v>4</v>
      </c>
      <c r="E15">
        <v>9</v>
      </c>
      <c r="F15">
        <v>13</v>
      </c>
      <c r="G15">
        <v>5</v>
      </c>
      <c r="H15">
        <v>9</v>
      </c>
      <c r="I15">
        <v>2</v>
      </c>
      <c r="J15">
        <v>12</v>
      </c>
      <c r="K15">
        <v>17</v>
      </c>
      <c r="L15">
        <v>16</v>
      </c>
      <c r="M15">
        <v>4</v>
      </c>
      <c r="N15">
        <v>7</v>
      </c>
      <c r="O15">
        <v>6</v>
      </c>
      <c r="P15">
        <v>1</v>
      </c>
      <c r="Q15">
        <v>3</v>
      </c>
      <c r="R15">
        <v>15</v>
      </c>
      <c r="S15">
        <v>10</v>
      </c>
      <c r="T15">
        <v>8</v>
      </c>
      <c r="U15">
        <v>11</v>
      </c>
      <c r="V15">
        <v>18</v>
      </c>
      <c r="W15">
        <v>14</v>
      </c>
    </row>
    <row r="16" spans="1:23" x14ac:dyDescent="0.25">
      <c r="A16" t="s">
        <v>257</v>
      </c>
      <c r="B16">
        <v>2</v>
      </c>
      <c r="C16">
        <v>4</v>
      </c>
      <c r="D16">
        <v>4</v>
      </c>
      <c r="E16">
        <v>9</v>
      </c>
      <c r="F16">
        <v>8</v>
      </c>
      <c r="G16">
        <v>1</v>
      </c>
      <c r="H16">
        <v>2</v>
      </c>
      <c r="I16">
        <v>17</v>
      </c>
      <c r="J16">
        <v>5</v>
      </c>
      <c r="K16">
        <v>11</v>
      </c>
      <c r="L16">
        <v>15</v>
      </c>
      <c r="M16">
        <v>16</v>
      </c>
      <c r="N16">
        <v>12</v>
      </c>
      <c r="O16">
        <v>9</v>
      </c>
      <c r="P16">
        <v>10</v>
      </c>
      <c r="Q16">
        <v>18</v>
      </c>
      <c r="R16">
        <v>6</v>
      </c>
      <c r="S16">
        <v>4</v>
      </c>
      <c r="T16">
        <v>7</v>
      </c>
      <c r="U16">
        <v>3</v>
      </c>
      <c r="V16">
        <v>13</v>
      </c>
      <c r="W16">
        <v>14</v>
      </c>
    </row>
    <row r="17" spans="1:23" x14ac:dyDescent="0.25">
      <c r="A17" t="s">
        <v>265</v>
      </c>
      <c r="B17">
        <v>2</v>
      </c>
      <c r="C17">
        <v>2</v>
      </c>
      <c r="D17">
        <v>4</v>
      </c>
      <c r="E17">
        <v>9</v>
      </c>
      <c r="F17">
        <v>18</v>
      </c>
      <c r="G17">
        <v>4</v>
      </c>
      <c r="H17">
        <v>3</v>
      </c>
      <c r="I17">
        <v>2</v>
      </c>
      <c r="J17">
        <v>7</v>
      </c>
      <c r="K17">
        <v>13</v>
      </c>
      <c r="L17">
        <v>15</v>
      </c>
      <c r="M17">
        <v>8</v>
      </c>
      <c r="N17">
        <v>14</v>
      </c>
      <c r="O17">
        <v>17</v>
      </c>
      <c r="P17">
        <v>6</v>
      </c>
      <c r="Q17">
        <v>9</v>
      </c>
      <c r="R17">
        <v>12</v>
      </c>
      <c r="S17">
        <v>10</v>
      </c>
      <c r="T17">
        <v>1</v>
      </c>
      <c r="U17">
        <v>16</v>
      </c>
      <c r="V17">
        <v>11</v>
      </c>
      <c r="W17">
        <v>5</v>
      </c>
    </row>
    <row r="18" spans="1:23" x14ac:dyDescent="0.25">
      <c r="A18" t="s">
        <v>260</v>
      </c>
      <c r="B18">
        <v>1</v>
      </c>
      <c r="C18">
        <v>3</v>
      </c>
      <c r="D18">
        <v>4</v>
      </c>
      <c r="E18">
        <v>9</v>
      </c>
      <c r="F18">
        <v>13</v>
      </c>
      <c r="G18">
        <v>2</v>
      </c>
      <c r="H18">
        <v>1</v>
      </c>
      <c r="I18">
        <v>15</v>
      </c>
      <c r="J18">
        <v>11</v>
      </c>
      <c r="K18">
        <v>4</v>
      </c>
      <c r="L18">
        <v>6</v>
      </c>
      <c r="M18">
        <v>3</v>
      </c>
      <c r="N18">
        <v>7</v>
      </c>
      <c r="O18">
        <v>5</v>
      </c>
      <c r="P18">
        <v>9</v>
      </c>
      <c r="Q18">
        <v>10</v>
      </c>
      <c r="R18">
        <v>17</v>
      </c>
      <c r="S18">
        <v>8</v>
      </c>
      <c r="T18">
        <v>18</v>
      </c>
      <c r="U18">
        <v>16</v>
      </c>
      <c r="V18">
        <v>14</v>
      </c>
      <c r="W18">
        <v>12</v>
      </c>
    </row>
    <row r="19" spans="1:23" x14ac:dyDescent="0.25">
      <c r="A19" t="s">
        <v>262</v>
      </c>
      <c r="B19">
        <v>2</v>
      </c>
      <c r="C19">
        <v>2</v>
      </c>
      <c r="D19">
        <v>4</v>
      </c>
      <c r="E19">
        <v>9</v>
      </c>
      <c r="F19">
        <v>18</v>
      </c>
      <c r="G19">
        <v>17</v>
      </c>
      <c r="H19">
        <v>3</v>
      </c>
      <c r="I19">
        <v>15</v>
      </c>
      <c r="J19">
        <v>6</v>
      </c>
      <c r="K19">
        <v>14</v>
      </c>
      <c r="L19">
        <v>9</v>
      </c>
      <c r="M19">
        <v>4</v>
      </c>
      <c r="N19">
        <v>12</v>
      </c>
      <c r="O19">
        <v>10</v>
      </c>
      <c r="P19">
        <v>1</v>
      </c>
      <c r="Q19">
        <v>13</v>
      </c>
      <c r="R19">
        <v>7</v>
      </c>
      <c r="S19">
        <v>8</v>
      </c>
      <c r="T19">
        <v>2</v>
      </c>
      <c r="U19">
        <v>16</v>
      </c>
      <c r="V19">
        <v>5</v>
      </c>
      <c r="W19">
        <v>11</v>
      </c>
    </row>
    <row r="20" spans="1:23" x14ac:dyDescent="0.25">
      <c r="A20" t="s">
        <v>252</v>
      </c>
      <c r="B20">
        <v>2</v>
      </c>
      <c r="C20">
        <v>4</v>
      </c>
      <c r="D20">
        <v>4</v>
      </c>
      <c r="E20">
        <v>9</v>
      </c>
      <c r="F20">
        <v>10</v>
      </c>
      <c r="G20">
        <v>15</v>
      </c>
      <c r="H20">
        <v>4</v>
      </c>
      <c r="I20">
        <v>5</v>
      </c>
      <c r="J20">
        <v>17</v>
      </c>
      <c r="K20">
        <v>11</v>
      </c>
      <c r="L20">
        <v>8</v>
      </c>
      <c r="M20">
        <v>7</v>
      </c>
      <c r="N20">
        <v>9</v>
      </c>
      <c r="O20">
        <v>1</v>
      </c>
      <c r="P20">
        <v>3</v>
      </c>
      <c r="Q20">
        <v>2</v>
      </c>
      <c r="R20">
        <v>18</v>
      </c>
      <c r="S20">
        <v>14</v>
      </c>
      <c r="T20">
        <v>16</v>
      </c>
      <c r="U20">
        <v>6</v>
      </c>
      <c r="V20">
        <v>12</v>
      </c>
      <c r="W20">
        <v>13</v>
      </c>
    </row>
    <row r="21" spans="1:23" x14ac:dyDescent="0.25">
      <c r="A21" t="s">
        <v>269</v>
      </c>
      <c r="B21">
        <v>1</v>
      </c>
      <c r="C21">
        <v>3</v>
      </c>
      <c r="D21">
        <v>4</v>
      </c>
      <c r="E21">
        <v>9</v>
      </c>
      <c r="F21">
        <v>6</v>
      </c>
      <c r="G21">
        <v>14</v>
      </c>
      <c r="H21">
        <v>12</v>
      </c>
      <c r="I21">
        <v>8</v>
      </c>
      <c r="J21">
        <v>17</v>
      </c>
      <c r="K21">
        <v>2</v>
      </c>
      <c r="L21">
        <v>16</v>
      </c>
      <c r="M21">
        <v>18</v>
      </c>
      <c r="N21">
        <v>13</v>
      </c>
      <c r="O21">
        <v>3</v>
      </c>
      <c r="P21">
        <v>9</v>
      </c>
      <c r="Q21">
        <v>10</v>
      </c>
      <c r="R21">
        <v>7</v>
      </c>
      <c r="S21">
        <v>15</v>
      </c>
      <c r="T21">
        <v>1</v>
      </c>
      <c r="U21">
        <v>11</v>
      </c>
      <c r="V21">
        <v>4</v>
      </c>
      <c r="W21">
        <v>5</v>
      </c>
    </row>
    <row r="22" spans="1:23" x14ac:dyDescent="0.25">
      <c r="A22" t="s">
        <v>253</v>
      </c>
      <c r="B22">
        <v>2</v>
      </c>
      <c r="C22">
        <v>4</v>
      </c>
      <c r="D22">
        <v>4</v>
      </c>
      <c r="E22">
        <v>9</v>
      </c>
      <c r="F22">
        <v>10</v>
      </c>
      <c r="G22">
        <v>1</v>
      </c>
      <c r="H22">
        <v>2</v>
      </c>
      <c r="I22">
        <v>6</v>
      </c>
      <c r="J22">
        <v>3</v>
      </c>
      <c r="K22">
        <v>14</v>
      </c>
      <c r="L22">
        <v>18</v>
      </c>
      <c r="M22">
        <v>16</v>
      </c>
      <c r="N22">
        <v>13</v>
      </c>
      <c r="O22">
        <v>17</v>
      </c>
      <c r="P22">
        <v>12</v>
      </c>
      <c r="Q22">
        <v>15</v>
      </c>
      <c r="R22">
        <v>8</v>
      </c>
      <c r="S22">
        <v>7</v>
      </c>
      <c r="T22">
        <v>5</v>
      </c>
      <c r="U22">
        <v>11</v>
      </c>
      <c r="V22">
        <v>4</v>
      </c>
      <c r="W22">
        <v>9</v>
      </c>
    </row>
    <row r="23" spans="1:23" x14ac:dyDescent="0.25">
      <c r="A23" t="s">
        <v>266</v>
      </c>
      <c r="B23">
        <v>2</v>
      </c>
      <c r="C23">
        <v>3</v>
      </c>
      <c r="D23">
        <v>4</v>
      </c>
      <c r="E23">
        <v>9</v>
      </c>
      <c r="F23">
        <v>9</v>
      </c>
      <c r="G23">
        <v>2</v>
      </c>
      <c r="H23">
        <v>3</v>
      </c>
      <c r="I23">
        <v>4</v>
      </c>
      <c r="J23">
        <v>18</v>
      </c>
      <c r="K23">
        <v>1</v>
      </c>
      <c r="L23">
        <v>10</v>
      </c>
      <c r="M23">
        <v>7</v>
      </c>
      <c r="N23">
        <v>17</v>
      </c>
      <c r="O23">
        <v>11</v>
      </c>
      <c r="P23">
        <v>8</v>
      </c>
      <c r="Q23">
        <v>5</v>
      </c>
      <c r="R23">
        <v>15</v>
      </c>
      <c r="S23">
        <v>13</v>
      </c>
      <c r="T23">
        <v>14</v>
      </c>
      <c r="U23">
        <v>12</v>
      </c>
      <c r="V23">
        <v>16</v>
      </c>
      <c r="W23">
        <v>6</v>
      </c>
    </row>
    <row r="24" spans="1:23" x14ac:dyDescent="0.25">
      <c r="A24" t="s">
        <v>271</v>
      </c>
      <c r="B24">
        <v>1</v>
      </c>
      <c r="C24">
        <v>3</v>
      </c>
      <c r="D24">
        <v>4</v>
      </c>
      <c r="E24">
        <v>9</v>
      </c>
      <c r="F24">
        <v>12</v>
      </c>
      <c r="G24">
        <v>13</v>
      </c>
      <c r="H24">
        <v>14</v>
      </c>
      <c r="I24">
        <v>2</v>
      </c>
      <c r="J24">
        <v>4</v>
      </c>
      <c r="K24">
        <v>6</v>
      </c>
      <c r="L24">
        <v>11</v>
      </c>
      <c r="M24">
        <v>7</v>
      </c>
      <c r="N24">
        <v>8</v>
      </c>
      <c r="O24">
        <v>3</v>
      </c>
      <c r="P24">
        <v>9</v>
      </c>
      <c r="Q24">
        <v>5</v>
      </c>
      <c r="R24">
        <v>16</v>
      </c>
      <c r="S24">
        <v>18</v>
      </c>
      <c r="T24">
        <v>1</v>
      </c>
      <c r="U24">
        <v>10</v>
      </c>
      <c r="V24">
        <v>17</v>
      </c>
      <c r="W24">
        <v>15</v>
      </c>
    </row>
    <row r="25" spans="1:23" x14ac:dyDescent="0.25">
      <c r="A25" t="s">
        <v>256</v>
      </c>
      <c r="B25">
        <v>2</v>
      </c>
      <c r="C25">
        <v>2</v>
      </c>
      <c r="D25">
        <v>4</v>
      </c>
      <c r="E25">
        <v>9</v>
      </c>
      <c r="F25">
        <v>5</v>
      </c>
      <c r="G25">
        <v>7</v>
      </c>
      <c r="H25">
        <v>15</v>
      </c>
      <c r="I25">
        <v>2</v>
      </c>
      <c r="J25">
        <v>18</v>
      </c>
      <c r="K25">
        <v>4</v>
      </c>
      <c r="L25">
        <v>13</v>
      </c>
      <c r="M25">
        <v>16</v>
      </c>
      <c r="N25">
        <v>14</v>
      </c>
      <c r="O25">
        <v>17</v>
      </c>
      <c r="P25">
        <v>9</v>
      </c>
      <c r="Q25">
        <v>1</v>
      </c>
      <c r="R25">
        <v>12</v>
      </c>
      <c r="S25">
        <v>10</v>
      </c>
      <c r="T25">
        <v>3</v>
      </c>
      <c r="U25">
        <v>11</v>
      </c>
      <c r="V25">
        <v>8</v>
      </c>
      <c r="W25">
        <v>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FBFFCE-1325-4841-A074-8705E3202537}">
  <sheetPr codeName="Feuil4"/>
  <dimension ref="A1:C36"/>
  <sheetViews>
    <sheetView topLeftCell="A13" workbookViewId="0"/>
  </sheetViews>
  <sheetFormatPr baseColWidth="10" defaultRowHeight="15" x14ac:dyDescent="0.25"/>
  <cols>
    <col min="1" max="1" width="8.5703125" bestFit="1" customWidth="1"/>
    <col min="2" max="2" width="17.5703125" bestFit="1" customWidth="1"/>
    <col min="3" max="3" width="34.42578125" bestFit="1" customWidth="1"/>
  </cols>
  <sheetData>
    <row r="1" spans="1:3" x14ac:dyDescent="0.25">
      <c r="A1" s="2" t="s">
        <v>5</v>
      </c>
      <c r="B1" s="2" t="s">
        <v>95</v>
      </c>
      <c r="C1" s="2" t="s">
        <v>8</v>
      </c>
    </row>
    <row r="2" spans="1:3" x14ac:dyDescent="0.25">
      <c r="A2" t="s">
        <v>249</v>
      </c>
      <c r="B2" s="5" t="s">
        <v>94</v>
      </c>
      <c r="C2" s="6" t="s">
        <v>97</v>
      </c>
    </row>
    <row r="3" spans="1:3" x14ac:dyDescent="0.25">
      <c r="A3" t="s">
        <v>254</v>
      </c>
      <c r="B3" s="5" t="s">
        <v>94</v>
      </c>
      <c r="C3" s="6" t="s">
        <v>97</v>
      </c>
    </row>
    <row r="4" spans="1:3" x14ac:dyDescent="0.25">
      <c r="A4" t="s">
        <v>268</v>
      </c>
      <c r="B4" s="5" t="s">
        <v>227</v>
      </c>
      <c r="C4" s="9" t="s">
        <v>241</v>
      </c>
    </row>
    <row r="5" spans="1:3" x14ac:dyDescent="0.25">
      <c r="A5" t="s">
        <v>272</v>
      </c>
      <c r="B5" s="5" t="s">
        <v>231</v>
      </c>
      <c r="C5" s="9" t="s">
        <v>242</v>
      </c>
    </row>
    <row r="6" spans="1:3" x14ac:dyDescent="0.25">
      <c r="A6" t="s">
        <v>255</v>
      </c>
      <c r="B6" s="5" t="s">
        <v>94</v>
      </c>
      <c r="C6" s="6" t="s">
        <v>243</v>
      </c>
    </row>
    <row r="7" spans="1:3" x14ac:dyDescent="0.25">
      <c r="A7" t="s">
        <v>270</v>
      </c>
      <c r="B7" s="5" t="s">
        <v>238</v>
      </c>
      <c r="C7" s="9" t="s">
        <v>242</v>
      </c>
    </row>
    <row r="8" spans="1:3" x14ac:dyDescent="0.25">
      <c r="A8" t="s">
        <v>263</v>
      </c>
      <c r="B8" s="5" t="s">
        <v>234</v>
      </c>
      <c r="C8" s="9" t="s">
        <v>242</v>
      </c>
    </row>
    <row r="9" spans="1:3" x14ac:dyDescent="0.25">
      <c r="A9" t="s">
        <v>261</v>
      </c>
      <c r="B9" s="5" t="s">
        <v>228</v>
      </c>
      <c r="C9" s="6" t="s">
        <v>96</v>
      </c>
    </row>
    <row r="10" spans="1:3" x14ac:dyDescent="0.25">
      <c r="A10" t="s">
        <v>250</v>
      </c>
      <c r="B10" s="5" t="s">
        <v>94</v>
      </c>
      <c r="C10" s="6" t="s">
        <v>243</v>
      </c>
    </row>
    <row r="11" spans="1:3" x14ac:dyDescent="0.25">
      <c r="A11" t="s">
        <v>267</v>
      </c>
      <c r="B11" s="5" t="s">
        <v>94</v>
      </c>
      <c r="C11" s="6" t="s">
        <v>97</v>
      </c>
    </row>
    <row r="12" spans="1:3" ht="30" x14ac:dyDescent="0.25">
      <c r="A12" t="s">
        <v>259</v>
      </c>
      <c r="B12" s="5" t="s">
        <v>350</v>
      </c>
      <c r="C12" s="9" t="s">
        <v>245</v>
      </c>
    </row>
    <row r="13" spans="1:3" x14ac:dyDescent="0.25">
      <c r="A13" t="s">
        <v>251</v>
      </c>
      <c r="B13" s="5" t="s">
        <v>240</v>
      </c>
      <c r="C13" s="9" t="s">
        <v>241</v>
      </c>
    </row>
    <row r="14" spans="1:3" x14ac:dyDescent="0.25">
      <c r="A14" t="s">
        <v>264</v>
      </c>
      <c r="B14" s="5" t="s">
        <v>94</v>
      </c>
      <c r="C14" s="6" t="s">
        <v>243</v>
      </c>
    </row>
    <row r="15" spans="1:3" x14ac:dyDescent="0.25">
      <c r="A15" t="s">
        <v>258</v>
      </c>
      <c r="B15" s="5" t="s">
        <v>229</v>
      </c>
      <c r="C15" s="6" t="s">
        <v>96</v>
      </c>
    </row>
    <row r="16" spans="1:3" ht="30" x14ac:dyDescent="0.25">
      <c r="A16" t="s">
        <v>257</v>
      </c>
      <c r="B16" s="5" t="s">
        <v>351</v>
      </c>
      <c r="C16" s="9" t="s">
        <v>284</v>
      </c>
    </row>
    <row r="17" spans="1:3" x14ac:dyDescent="0.25">
      <c r="A17" t="s">
        <v>265</v>
      </c>
      <c r="B17" s="5" t="s">
        <v>233</v>
      </c>
      <c r="C17" s="6" t="s">
        <v>96</v>
      </c>
    </row>
    <row r="18" spans="1:3" x14ac:dyDescent="0.25">
      <c r="A18" t="s">
        <v>260</v>
      </c>
      <c r="B18" s="5" t="s">
        <v>236</v>
      </c>
      <c r="C18" s="9" t="s">
        <v>277</v>
      </c>
    </row>
    <row r="19" spans="1:3" x14ac:dyDescent="0.25">
      <c r="A19" t="s">
        <v>262</v>
      </c>
      <c r="B19" s="5" t="s">
        <v>94</v>
      </c>
      <c r="C19" s="6" t="s">
        <v>97</v>
      </c>
    </row>
    <row r="20" spans="1:3" x14ac:dyDescent="0.25">
      <c r="A20" t="s">
        <v>252</v>
      </c>
      <c r="B20" s="5" t="s">
        <v>94</v>
      </c>
      <c r="C20" s="6" t="s">
        <v>97</v>
      </c>
    </row>
    <row r="21" spans="1:3" x14ac:dyDescent="0.25">
      <c r="A21" t="s">
        <v>269</v>
      </c>
      <c r="B21" s="5" t="s">
        <v>230</v>
      </c>
      <c r="C21" s="9" t="s">
        <v>277</v>
      </c>
    </row>
    <row r="22" spans="1:3" x14ac:dyDescent="0.25">
      <c r="A22" t="s">
        <v>253</v>
      </c>
      <c r="B22" s="5" t="s">
        <v>94</v>
      </c>
      <c r="C22" s="6" t="s">
        <v>97</v>
      </c>
    </row>
    <row r="23" spans="1:3" ht="30" x14ac:dyDescent="0.25">
      <c r="A23" t="s">
        <v>266</v>
      </c>
      <c r="B23" s="5" t="s">
        <v>302</v>
      </c>
      <c r="C23" s="9" t="s">
        <v>245</v>
      </c>
    </row>
    <row r="24" spans="1:3" x14ac:dyDescent="0.25">
      <c r="A24" t="s">
        <v>271</v>
      </c>
      <c r="B24" s="5" t="s">
        <v>94</v>
      </c>
      <c r="C24" s="6" t="s">
        <v>243</v>
      </c>
    </row>
    <row r="25" spans="1:3" x14ac:dyDescent="0.25">
      <c r="A25" t="s">
        <v>256</v>
      </c>
      <c r="B25" s="5" t="s">
        <v>226</v>
      </c>
      <c r="C25" s="6" t="s">
        <v>96</v>
      </c>
    </row>
    <row r="26" spans="1:3" x14ac:dyDescent="0.25">
      <c r="B26" s="5"/>
      <c r="C26" s="6"/>
    </row>
    <row r="27" spans="1:3" x14ac:dyDescent="0.25">
      <c r="B27" s="5"/>
      <c r="C27" s="6"/>
    </row>
    <row r="28" spans="1:3" x14ac:dyDescent="0.25">
      <c r="B28" s="5"/>
      <c r="C28" s="6"/>
    </row>
    <row r="29" spans="1:3" x14ac:dyDescent="0.25">
      <c r="B29" s="5"/>
      <c r="C29" s="6"/>
    </row>
    <row r="30" spans="1:3" x14ac:dyDescent="0.25">
      <c r="B30" s="5"/>
    </row>
    <row r="31" spans="1:3" x14ac:dyDescent="0.25">
      <c r="B31" s="5"/>
    </row>
    <row r="32" spans="1:3" x14ac:dyDescent="0.25">
      <c r="B32" s="5"/>
      <c r="C32" s="6"/>
    </row>
    <row r="33" spans="2:3" x14ac:dyDescent="0.25">
      <c r="B33" s="5"/>
      <c r="C33" s="6"/>
    </row>
    <row r="34" spans="2:3" x14ac:dyDescent="0.25">
      <c r="B34" s="5"/>
      <c r="C34" s="6"/>
    </row>
    <row r="35" spans="2:3" x14ac:dyDescent="0.25">
      <c r="B35" s="5"/>
      <c r="C35" s="6"/>
    </row>
    <row r="36" spans="2:3" x14ac:dyDescent="0.25">
      <c r="B36" s="5"/>
      <c r="C36" s="6"/>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515FB-3917-4DFD-8F55-BBDE779C3615}">
  <sheetPr codeName="Feuil6"/>
  <dimension ref="A1:E19"/>
  <sheetViews>
    <sheetView tabSelected="1" zoomScale="85" zoomScaleNormal="85" workbookViewId="0"/>
  </sheetViews>
  <sheetFormatPr baseColWidth="10" defaultRowHeight="15" x14ac:dyDescent="0.25"/>
  <cols>
    <col min="1" max="1" width="6.140625" bestFit="1" customWidth="1"/>
    <col min="2" max="2" width="39" bestFit="1" customWidth="1"/>
    <col min="3" max="3" width="45.5703125" bestFit="1" customWidth="1"/>
    <col min="4" max="4" width="36.7109375" bestFit="1" customWidth="1"/>
    <col min="5" max="5" width="156.28515625" bestFit="1" customWidth="1"/>
    <col min="6" max="6" width="7.7109375" bestFit="1" customWidth="1"/>
    <col min="7" max="7" width="8" bestFit="1" customWidth="1"/>
    <col min="8" max="8" width="8.140625" bestFit="1" customWidth="1"/>
    <col min="9" max="9" width="7.28515625" bestFit="1" customWidth="1"/>
    <col min="10" max="10" width="7.7109375" bestFit="1" customWidth="1"/>
    <col min="11" max="12" width="7.5703125" bestFit="1" customWidth="1"/>
    <col min="13" max="13" width="8" bestFit="1" customWidth="1"/>
    <col min="14" max="14" width="7.5703125" bestFit="1" customWidth="1"/>
    <col min="15" max="15" width="8" bestFit="1" customWidth="1"/>
    <col min="16" max="16" width="7.85546875" bestFit="1" customWidth="1"/>
    <col min="17" max="17" width="7.5703125" bestFit="1" customWidth="1"/>
    <col min="18" max="18" width="7.7109375" bestFit="1" customWidth="1"/>
    <col min="19" max="19" width="7.85546875" bestFit="1" customWidth="1"/>
    <col min="20" max="20" width="7.7109375" bestFit="1" customWidth="1"/>
    <col min="21" max="21" width="7.42578125" bestFit="1" customWidth="1"/>
  </cols>
  <sheetData>
    <row r="1" spans="1:5" x14ac:dyDescent="0.25">
      <c r="A1" s="2" t="s">
        <v>35</v>
      </c>
      <c r="B1" s="2" t="s">
        <v>92</v>
      </c>
      <c r="C1" s="2" t="s">
        <v>36</v>
      </c>
      <c r="D1" s="2" t="s">
        <v>37</v>
      </c>
      <c r="E1" s="2" t="s">
        <v>93</v>
      </c>
    </row>
    <row r="2" spans="1:5" x14ac:dyDescent="0.25">
      <c r="A2">
        <v>1</v>
      </c>
      <c r="B2" t="s">
        <v>282</v>
      </c>
      <c r="C2" t="s">
        <v>38</v>
      </c>
      <c r="D2" t="s">
        <v>283</v>
      </c>
      <c r="E2" t="s">
        <v>303</v>
      </c>
    </row>
    <row r="3" spans="1:5" x14ac:dyDescent="0.25">
      <c r="A3">
        <v>2</v>
      </c>
      <c r="B3" t="s">
        <v>304</v>
      </c>
      <c r="C3" t="s">
        <v>38</v>
      </c>
      <c r="D3" t="s">
        <v>305</v>
      </c>
      <c r="E3" t="s">
        <v>306</v>
      </c>
    </row>
    <row r="4" spans="1:5" x14ac:dyDescent="0.25">
      <c r="A4">
        <v>3</v>
      </c>
      <c r="B4" t="s">
        <v>299</v>
      </c>
      <c r="C4" t="s">
        <v>38</v>
      </c>
      <c r="D4" t="s">
        <v>307</v>
      </c>
      <c r="E4" t="s">
        <v>308</v>
      </c>
    </row>
    <row r="5" spans="1:5" x14ac:dyDescent="0.25">
      <c r="A5">
        <v>4</v>
      </c>
      <c r="B5" t="s">
        <v>309</v>
      </c>
      <c r="C5" t="s">
        <v>38</v>
      </c>
      <c r="D5" t="s">
        <v>310</v>
      </c>
      <c r="E5" t="s">
        <v>311</v>
      </c>
    </row>
    <row r="6" spans="1:5" x14ac:dyDescent="0.25">
      <c r="A6">
        <v>5</v>
      </c>
      <c r="B6" t="s">
        <v>312</v>
      </c>
      <c r="C6" t="s">
        <v>38</v>
      </c>
      <c r="D6" t="s">
        <v>313</v>
      </c>
      <c r="E6" t="s">
        <v>314</v>
      </c>
    </row>
    <row r="7" spans="1:5" x14ac:dyDescent="0.25">
      <c r="A7">
        <v>6</v>
      </c>
      <c r="B7" t="s">
        <v>315</v>
      </c>
      <c r="C7" t="s">
        <v>38</v>
      </c>
      <c r="D7" t="s">
        <v>316</v>
      </c>
      <c r="E7" t="s">
        <v>317</v>
      </c>
    </row>
    <row r="8" spans="1:5" x14ac:dyDescent="0.25">
      <c r="A8">
        <v>7</v>
      </c>
      <c r="B8" t="s">
        <v>318</v>
      </c>
      <c r="C8" t="s">
        <v>38</v>
      </c>
      <c r="D8" t="s">
        <v>319</v>
      </c>
      <c r="E8" t="s">
        <v>320</v>
      </c>
    </row>
    <row r="9" spans="1:5" x14ac:dyDescent="0.25">
      <c r="A9">
        <v>8</v>
      </c>
      <c r="B9" t="s">
        <v>321</v>
      </c>
      <c r="C9" t="s">
        <v>38</v>
      </c>
      <c r="D9" t="s">
        <v>322</v>
      </c>
      <c r="E9" t="s">
        <v>323</v>
      </c>
    </row>
    <row r="10" spans="1:5" x14ac:dyDescent="0.25">
      <c r="A10">
        <v>9</v>
      </c>
      <c r="B10" t="s">
        <v>324</v>
      </c>
      <c r="C10" t="s">
        <v>38</v>
      </c>
      <c r="D10" t="s">
        <v>325</v>
      </c>
      <c r="E10" t="s">
        <v>326</v>
      </c>
    </row>
    <row r="11" spans="1:5" x14ac:dyDescent="0.25">
      <c r="A11">
        <v>10</v>
      </c>
      <c r="B11" t="s">
        <v>327</v>
      </c>
      <c r="C11" t="s">
        <v>38</v>
      </c>
      <c r="D11" t="s">
        <v>328</v>
      </c>
      <c r="E11" t="s">
        <v>329</v>
      </c>
    </row>
    <row r="12" spans="1:5" x14ac:dyDescent="0.25">
      <c r="A12">
        <v>11</v>
      </c>
      <c r="B12" t="s">
        <v>330</v>
      </c>
      <c r="C12" t="s">
        <v>38</v>
      </c>
      <c r="D12" t="s">
        <v>331</v>
      </c>
      <c r="E12" t="s">
        <v>332</v>
      </c>
    </row>
    <row r="13" spans="1:5" x14ac:dyDescent="0.25">
      <c r="A13">
        <v>12</v>
      </c>
      <c r="B13" t="s">
        <v>333</v>
      </c>
      <c r="C13" t="s">
        <v>38</v>
      </c>
      <c r="D13" t="s">
        <v>334</v>
      </c>
      <c r="E13" t="s">
        <v>335</v>
      </c>
    </row>
    <row r="14" spans="1:5" x14ac:dyDescent="0.25">
      <c r="A14">
        <v>13</v>
      </c>
      <c r="B14" t="s">
        <v>336</v>
      </c>
      <c r="C14" t="s">
        <v>38</v>
      </c>
      <c r="D14" t="s">
        <v>337</v>
      </c>
      <c r="E14" t="s">
        <v>338</v>
      </c>
    </row>
    <row r="15" spans="1:5" x14ac:dyDescent="0.25">
      <c r="A15">
        <v>14</v>
      </c>
      <c r="B15" t="s">
        <v>339</v>
      </c>
      <c r="C15" t="s">
        <v>38</v>
      </c>
      <c r="D15" t="s">
        <v>340</v>
      </c>
      <c r="E15" t="s">
        <v>341</v>
      </c>
    </row>
    <row r="16" spans="1:5" x14ac:dyDescent="0.25">
      <c r="A16">
        <v>15</v>
      </c>
      <c r="B16" t="s">
        <v>342</v>
      </c>
      <c r="C16" t="s">
        <v>38</v>
      </c>
      <c r="D16" t="s">
        <v>343</v>
      </c>
      <c r="E16" t="s">
        <v>344</v>
      </c>
    </row>
    <row r="17" spans="1:5" x14ac:dyDescent="0.25">
      <c r="A17">
        <v>16</v>
      </c>
      <c r="B17" t="s">
        <v>300</v>
      </c>
      <c r="C17" t="s">
        <v>38</v>
      </c>
      <c r="D17" t="s">
        <v>301</v>
      </c>
      <c r="E17" t="s">
        <v>345</v>
      </c>
    </row>
    <row r="18" spans="1:5" x14ac:dyDescent="0.25">
      <c r="A18">
        <v>17</v>
      </c>
      <c r="B18" t="s">
        <v>346</v>
      </c>
      <c r="C18" t="s">
        <v>38</v>
      </c>
      <c r="D18" t="s">
        <v>347</v>
      </c>
      <c r="E18" t="s">
        <v>240</v>
      </c>
    </row>
    <row r="19" spans="1:5" x14ac:dyDescent="0.25">
      <c r="A19">
        <v>18</v>
      </c>
      <c r="B19" t="s">
        <v>348</v>
      </c>
      <c r="C19" t="s">
        <v>38</v>
      </c>
      <c r="D19" t="s">
        <v>349</v>
      </c>
      <c r="E19" t="s">
        <v>94</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A60C0-528C-4CE4-8F63-53A36CDD42AC}">
  <sheetPr codeName="Feuil7"/>
  <dimension ref="A1:F25"/>
  <sheetViews>
    <sheetView zoomScale="145" zoomScaleNormal="145" workbookViewId="0"/>
  </sheetViews>
  <sheetFormatPr baseColWidth="10" defaultRowHeight="15" x14ac:dyDescent="0.25"/>
  <cols>
    <col min="1" max="1" width="8.5703125" bestFit="1" customWidth="1"/>
    <col min="2" max="2" width="34.42578125" bestFit="1" customWidth="1"/>
    <col min="3" max="3" width="23" bestFit="1" customWidth="1"/>
    <col min="4" max="4" width="50.7109375" customWidth="1"/>
    <col min="5" max="5" width="5.85546875" bestFit="1" customWidth="1"/>
    <col min="6" max="6" width="16.140625" bestFit="1" customWidth="1"/>
    <col min="7" max="8" width="7.85546875" bestFit="1" customWidth="1"/>
    <col min="9" max="9" width="6.85546875" bestFit="1" customWidth="1"/>
    <col min="10" max="13" width="7.85546875" bestFit="1" customWidth="1"/>
  </cols>
  <sheetData>
    <row r="1" spans="1:6" x14ac:dyDescent="0.25">
      <c r="A1" s="10" t="s">
        <v>5</v>
      </c>
      <c r="B1" s="10" t="s">
        <v>8</v>
      </c>
      <c r="C1" s="10" t="s">
        <v>80</v>
      </c>
      <c r="D1" s="10" t="s">
        <v>113</v>
      </c>
      <c r="E1" s="10" t="s">
        <v>114</v>
      </c>
      <c r="F1" s="10" t="s">
        <v>115</v>
      </c>
    </row>
    <row r="2" spans="1:6" x14ac:dyDescent="0.25">
      <c r="A2" s="11" t="s">
        <v>249</v>
      </c>
      <c r="B2" s="12" t="s">
        <v>277</v>
      </c>
      <c r="C2" s="12" t="s">
        <v>230</v>
      </c>
      <c r="D2" s="12" t="s">
        <v>285</v>
      </c>
      <c r="E2" s="12">
        <v>9</v>
      </c>
      <c r="F2" s="12">
        <v>7</v>
      </c>
    </row>
    <row r="3" spans="1:6" x14ac:dyDescent="0.25">
      <c r="A3" s="13" t="s">
        <v>254</v>
      </c>
      <c r="B3" s="12" t="s">
        <v>96</v>
      </c>
      <c r="C3" s="12" t="s">
        <v>235</v>
      </c>
      <c r="D3" s="12" t="s">
        <v>286</v>
      </c>
      <c r="E3" s="12">
        <v>9</v>
      </c>
      <c r="F3" s="12">
        <v>9</v>
      </c>
    </row>
    <row r="4" spans="1:6" x14ac:dyDescent="0.25">
      <c r="A4" s="14" t="s">
        <v>268</v>
      </c>
      <c r="B4" s="14" t="s">
        <v>97</v>
      </c>
      <c r="C4" s="14" t="s">
        <v>244</v>
      </c>
      <c r="D4" s="14"/>
      <c r="E4" s="14"/>
      <c r="F4" s="14"/>
    </row>
    <row r="5" spans="1:6" x14ac:dyDescent="0.25">
      <c r="A5" s="15" t="s">
        <v>272</v>
      </c>
      <c r="B5" s="16" t="s">
        <v>284</v>
      </c>
      <c r="C5" s="12" t="s">
        <v>227</v>
      </c>
      <c r="D5" s="12" t="s">
        <v>287</v>
      </c>
      <c r="E5" s="12">
        <v>6</v>
      </c>
      <c r="F5" s="12">
        <v>10</v>
      </c>
    </row>
    <row r="6" spans="1:6" x14ac:dyDescent="0.25">
      <c r="A6" s="15"/>
      <c r="B6" s="16"/>
      <c r="C6" s="12" t="s">
        <v>228</v>
      </c>
      <c r="D6" s="12" t="s">
        <v>288</v>
      </c>
      <c r="E6" s="12">
        <v>7</v>
      </c>
      <c r="F6" s="12">
        <v>9</v>
      </c>
    </row>
    <row r="7" spans="1:6" x14ac:dyDescent="0.25">
      <c r="A7" s="15"/>
      <c r="B7" s="16"/>
      <c r="C7" s="12" t="s">
        <v>229</v>
      </c>
      <c r="D7" s="12" t="s">
        <v>289</v>
      </c>
      <c r="E7" s="12">
        <v>7</v>
      </c>
      <c r="F7" s="12">
        <v>4</v>
      </c>
    </row>
    <row r="8" spans="1:6" x14ac:dyDescent="0.25">
      <c r="A8" s="11" t="s">
        <v>255</v>
      </c>
      <c r="B8" s="12" t="s">
        <v>242</v>
      </c>
      <c r="C8" s="12" t="s">
        <v>87</v>
      </c>
      <c r="D8" s="12" t="s">
        <v>290</v>
      </c>
      <c r="E8" s="12">
        <v>10</v>
      </c>
      <c r="F8" s="12">
        <v>5</v>
      </c>
    </row>
    <row r="9" spans="1:6" x14ac:dyDescent="0.25">
      <c r="A9" s="14" t="s">
        <v>270</v>
      </c>
      <c r="B9" s="14" t="s">
        <v>97</v>
      </c>
      <c r="C9" s="14" t="s">
        <v>244</v>
      </c>
      <c r="D9" s="14"/>
      <c r="E9" s="14"/>
      <c r="F9" s="14"/>
    </row>
    <row r="10" spans="1:6" x14ac:dyDescent="0.25">
      <c r="A10" s="11" t="s">
        <v>263</v>
      </c>
      <c r="B10" s="12" t="s">
        <v>242</v>
      </c>
      <c r="C10" s="12" t="s">
        <v>86</v>
      </c>
      <c r="D10" s="12" t="s">
        <v>291</v>
      </c>
      <c r="E10" s="12">
        <v>5</v>
      </c>
      <c r="F10" s="12">
        <v>8</v>
      </c>
    </row>
    <row r="11" spans="1:6" x14ac:dyDescent="0.25">
      <c r="A11" s="13" t="s">
        <v>261</v>
      </c>
      <c r="B11" s="12" t="s">
        <v>96</v>
      </c>
      <c r="C11" s="12" t="s">
        <v>231</v>
      </c>
      <c r="D11" s="12" t="s">
        <v>292</v>
      </c>
      <c r="E11" s="12">
        <v>6</v>
      </c>
      <c r="F11" s="12">
        <v>5</v>
      </c>
    </row>
    <row r="12" spans="1:6" x14ac:dyDescent="0.25">
      <c r="A12" s="11" t="s">
        <v>250</v>
      </c>
      <c r="B12" s="12" t="s">
        <v>242</v>
      </c>
      <c r="C12" s="12" t="s">
        <v>232</v>
      </c>
      <c r="D12" s="12" t="s">
        <v>293</v>
      </c>
      <c r="E12" s="12">
        <v>6</v>
      </c>
      <c r="F12" s="12">
        <v>9</v>
      </c>
    </row>
    <row r="13" spans="1:6" x14ac:dyDescent="0.25">
      <c r="A13" s="14" t="s">
        <v>267</v>
      </c>
      <c r="B13" s="14" t="s">
        <v>243</v>
      </c>
      <c r="C13" s="14" t="s">
        <v>244</v>
      </c>
      <c r="D13" s="14"/>
      <c r="E13" s="14"/>
      <c r="F13" s="14"/>
    </row>
    <row r="14" spans="1:6" x14ac:dyDescent="0.25">
      <c r="A14" s="15" t="s">
        <v>259</v>
      </c>
      <c r="B14" s="16" t="s">
        <v>245</v>
      </c>
      <c r="C14" s="12" t="s">
        <v>85</v>
      </c>
      <c r="D14" s="12" t="s">
        <v>294</v>
      </c>
      <c r="E14" s="12">
        <v>8</v>
      </c>
      <c r="F14" s="12">
        <v>4</v>
      </c>
    </row>
    <row r="15" spans="1:6" x14ac:dyDescent="0.25">
      <c r="A15" s="15"/>
      <c r="B15" s="16"/>
      <c r="C15" s="12" t="s">
        <v>233</v>
      </c>
      <c r="D15" s="12" t="s">
        <v>295</v>
      </c>
      <c r="E15" s="12">
        <v>9</v>
      </c>
      <c r="F15" s="12">
        <v>7</v>
      </c>
    </row>
    <row r="16" spans="1:6" x14ac:dyDescent="0.25">
      <c r="A16" s="14" t="s">
        <v>251</v>
      </c>
      <c r="B16" s="14" t="s">
        <v>97</v>
      </c>
      <c r="C16" s="14" t="s">
        <v>244</v>
      </c>
      <c r="D16" s="14"/>
      <c r="E16" s="14"/>
      <c r="F16" s="14"/>
    </row>
    <row r="17" spans="1:6" x14ac:dyDescent="0.25">
      <c r="A17" s="13" t="s">
        <v>264</v>
      </c>
      <c r="B17" s="12" t="s">
        <v>96</v>
      </c>
      <c r="C17" s="12" t="s">
        <v>226</v>
      </c>
      <c r="D17" s="12" t="s">
        <v>296</v>
      </c>
      <c r="E17" s="12">
        <v>9</v>
      </c>
      <c r="F17" s="12">
        <v>9</v>
      </c>
    </row>
    <row r="18" spans="1:6" x14ac:dyDescent="0.25">
      <c r="A18" s="14" t="s">
        <v>258</v>
      </c>
      <c r="B18" s="14" t="s">
        <v>243</v>
      </c>
      <c r="C18" s="14" t="s">
        <v>244</v>
      </c>
      <c r="D18" s="14"/>
      <c r="E18" s="14"/>
      <c r="F18" s="14"/>
    </row>
    <row r="19" spans="1:6" x14ac:dyDescent="0.25">
      <c r="A19" s="14" t="s">
        <v>257</v>
      </c>
      <c r="B19" s="14" t="s">
        <v>243</v>
      </c>
      <c r="C19" s="14" t="s">
        <v>244</v>
      </c>
      <c r="D19" s="14"/>
      <c r="E19" s="14"/>
      <c r="F19" s="14"/>
    </row>
    <row r="20" spans="1:6" x14ac:dyDescent="0.25">
      <c r="A20" s="11" t="s">
        <v>265</v>
      </c>
      <c r="B20" s="12" t="s">
        <v>241</v>
      </c>
      <c r="C20" s="12" t="s">
        <v>234</v>
      </c>
      <c r="D20" s="12" t="s">
        <v>297</v>
      </c>
      <c r="E20" s="12">
        <v>9</v>
      </c>
      <c r="F20" s="12">
        <v>2</v>
      </c>
    </row>
    <row r="21" spans="1:6" x14ac:dyDescent="0.25">
      <c r="A21" s="14" t="s">
        <v>260</v>
      </c>
      <c r="B21" s="14" t="s">
        <v>243</v>
      </c>
      <c r="C21" s="14" t="s">
        <v>244</v>
      </c>
      <c r="D21" s="14"/>
      <c r="E21" s="14"/>
      <c r="F21" s="14"/>
    </row>
    <row r="22" spans="1:6" x14ac:dyDescent="0.25">
      <c r="A22" s="14" t="s">
        <v>262</v>
      </c>
      <c r="B22" s="14" t="s">
        <v>97</v>
      </c>
      <c r="C22" s="14" t="s">
        <v>244</v>
      </c>
      <c r="D22" s="14"/>
      <c r="E22" s="14"/>
      <c r="F22" s="14"/>
    </row>
    <row r="23" spans="1:6" x14ac:dyDescent="0.25">
      <c r="A23" s="14" t="s">
        <v>252</v>
      </c>
      <c r="B23" s="14" t="s">
        <v>97</v>
      </c>
      <c r="C23" s="14" t="s">
        <v>244</v>
      </c>
      <c r="D23" s="14"/>
      <c r="E23" s="14"/>
      <c r="F23" s="14"/>
    </row>
    <row r="24" spans="1:6" x14ac:dyDescent="0.25">
      <c r="A24" s="14" t="s">
        <v>269</v>
      </c>
      <c r="B24" s="14" t="s">
        <v>243</v>
      </c>
      <c r="C24" s="14" t="s">
        <v>244</v>
      </c>
      <c r="D24" s="14"/>
      <c r="E24" s="14"/>
      <c r="F24" s="14"/>
    </row>
    <row r="25" spans="1:6" x14ac:dyDescent="0.25">
      <c r="A25" s="7"/>
      <c r="B25" s="7"/>
      <c r="C25" s="7"/>
      <c r="D25" s="7"/>
      <c r="E25" s="7"/>
      <c r="F25" s="7"/>
    </row>
  </sheetData>
  <mergeCells count="4">
    <mergeCell ref="A5:A7"/>
    <mergeCell ref="B5:B7"/>
    <mergeCell ref="A14:A15"/>
    <mergeCell ref="B14:B15"/>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57585-9693-41CA-8BCE-1EBF4153073C}">
  <sheetPr codeName="Feuil5"/>
  <dimension ref="A1:D104"/>
  <sheetViews>
    <sheetView zoomScale="130" zoomScaleNormal="130" workbookViewId="0"/>
  </sheetViews>
  <sheetFormatPr baseColWidth="10" defaultRowHeight="15" x14ac:dyDescent="0.25"/>
  <cols>
    <col min="1" max="1" width="8.140625" bestFit="1" customWidth="1"/>
    <col min="2" max="2" width="21.85546875" bestFit="1" customWidth="1"/>
    <col min="3" max="3" width="13.85546875" bestFit="1" customWidth="1"/>
    <col min="4" max="4" width="10.5703125" bestFit="1" customWidth="1"/>
  </cols>
  <sheetData>
    <row r="1" spans="1:4" x14ac:dyDescent="0.25">
      <c r="A1" s="2" t="s">
        <v>0</v>
      </c>
      <c r="B1" s="2" t="s">
        <v>19</v>
      </c>
      <c r="C1" s="2" t="s">
        <v>20</v>
      </c>
      <c r="D1" s="2" t="s">
        <v>33</v>
      </c>
    </row>
    <row r="2" spans="1:4" x14ac:dyDescent="0.25">
      <c r="A2" t="s">
        <v>2</v>
      </c>
      <c r="B2" t="s">
        <v>43</v>
      </c>
      <c r="C2">
        <v>2</v>
      </c>
      <c r="D2" t="s">
        <v>34</v>
      </c>
    </row>
    <row r="3" spans="1:4" x14ac:dyDescent="0.25">
      <c r="A3" t="s">
        <v>4</v>
      </c>
      <c r="B3" t="s">
        <v>70</v>
      </c>
      <c r="C3">
        <v>2</v>
      </c>
      <c r="D3" t="s">
        <v>34</v>
      </c>
    </row>
    <row r="4" spans="1:4" x14ac:dyDescent="0.25">
      <c r="A4" t="s">
        <v>11</v>
      </c>
      <c r="B4" t="s">
        <v>10</v>
      </c>
      <c r="C4">
        <v>1</v>
      </c>
      <c r="D4" t="s">
        <v>34</v>
      </c>
    </row>
    <row r="5" spans="1:4" x14ac:dyDescent="0.25">
      <c r="A5" t="s">
        <v>12</v>
      </c>
      <c r="B5" t="s">
        <v>71</v>
      </c>
      <c r="C5">
        <v>1</v>
      </c>
      <c r="D5" t="s">
        <v>34</v>
      </c>
    </row>
    <row r="6" spans="1:4" x14ac:dyDescent="0.25">
      <c r="A6" t="s">
        <v>13</v>
      </c>
      <c r="B6" t="s">
        <v>10</v>
      </c>
      <c r="C6">
        <v>1</v>
      </c>
      <c r="D6" t="s">
        <v>34</v>
      </c>
    </row>
    <row r="7" spans="1:4" x14ac:dyDescent="0.25">
      <c r="A7" t="s">
        <v>14</v>
      </c>
      <c r="B7" s="2" t="s">
        <v>70</v>
      </c>
      <c r="C7" s="2">
        <v>3</v>
      </c>
      <c r="D7" t="s">
        <v>34</v>
      </c>
    </row>
    <row r="8" spans="1:4" x14ac:dyDescent="0.25">
      <c r="A8" t="s">
        <v>15</v>
      </c>
      <c r="B8" s="2" t="s">
        <v>48</v>
      </c>
      <c r="C8" s="2">
        <v>1</v>
      </c>
      <c r="D8" t="s">
        <v>34</v>
      </c>
    </row>
    <row r="9" spans="1:4" x14ac:dyDescent="0.25">
      <c r="A9" t="s">
        <v>16</v>
      </c>
      <c r="B9" s="2" t="s">
        <v>43</v>
      </c>
      <c r="C9" s="2">
        <v>1</v>
      </c>
      <c r="D9" t="s">
        <v>34</v>
      </c>
    </row>
    <row r="10" spans="1:4" x14ac:dyDescent="0.25">
      <c r="A10" t="s">
        <v>17</v>
      </c>
      <c r="B10" t="s">
        <v>10</v>
      </c>
      <c r="C10">
        <v>1</v>
      </c>
      <c r="D10" t="s">
        <v>34</v>
      </c>
    </row>
    <row r="11" spans="1:4" x14ac:dyDescent="0.25">
      <c r="A11" t="s">
        <v>18</v>
      </c>
      <c r="B11" t="s">
        <v>70</v>
      </c>
      <c r="C11">
        <v>1</v>
      </c>
      <c r="D11" t="s">
        <v>34</v>
      </c>
    </row>
    <row r="12" spans="1:4" x14ac:dyDescent="0.25">
      <c r="A12" t="s">
        <v>51</v>
      </c>
      <c r="B12" t="s">
        <v>43</v>
      </c>
      <c r="C12">
        <v>1</v>
      </c>
      <c r="D12" t="s">
        <v>34</v>
      </c>
    </row>
    <row r="13" spans="1:4" x14ac:dyDescent="0.25">
      <c r="A13" t="s">
        <v>52</v>
      </c>
      <c r="B13" s="2" t="s">
        <v>48</v>
      </c>
      <c r="C13" s="2">
        <v>2</v>
      </c>
      <c r="D13" t="s">
        <v>34</v>
      </c>
    </row>
    <row r="14" spans="1:4" x14ac:dyDescent="0.25">
      <c r="A14" t="s">
        <v>53</v>
      </c>
      <c r="B14" s="2" t="s">
        <v>71</v>
      </c>
      <c r="C14" s="2">
        <v>1</v>
      </c>
      <c r="D14" t="s">
        <v>34</v>
      </c>
    </row>
    <row r="15" spans="1:4" x14ac:dyDescent="0.25">
      <c r="A15" t="s">
        <v>54</v>
      </c>
      <c r="B15" t="s">
        <v>69</v>
      </c>
      <c r="C15">
        <v>1</v>
      </c>
      <c r="D15" t="s">
        <v>34</v>
      </c>
    </row>
    <row r="16" spans="1:4" x14ac:dyDescent="0.25">
      <c r="A16" t="s">
        <v>55</v>
      </c>
      <c r="B16" t="s">
        <v>43</v>
      </c>
      <c r="C16">
        <v>2</v>
      </c>
      <c r="D16" t="s">
        <v>34</v>
      </c>
    </row>
    <row r="17" spans="1:4" x14ac:dyDescent="0.25">
      <c r="A17" t="s">
        <v>56</v>
      </c>
      <c r="B17" t="s">
        <v>71</v>
      </c>
      <c r="C17">
        <v>1</v>
      </c>
      <c r="D17" t="s">
        <v>34</v>
      </c>
    </row>
    <row r="18" spans="1:4" x14ac:dyDescent="0.25">
      <c r="A18" t="s">
        <v>57</v>
      </c>
      <c r="B18" s="2" t="s">
        <v>3</v>
      </c>
      <c r="C18" s="2">
        <v>1</v>
      </c>
      <c r="D18" t="s">
        <v>34</v>
      </c>
    </row>
    <row r="19" spans="1:4" x14ac:dyDescent="0.25">
      <c r="A19" t="s">
        <v>58</v>
      </c>
      <c r="B19" s="2" t="s">
        <v>48</v>
      </c>
      <c r="C19" s="2">
        <v>1</v>
      </c>
      <c r="D19" t="s">
        <v>34</v>
      </c>
    </row>
    <row r="20" spans="1:4" x14ac:dyDescent="0.25">
      <c r="A20" t="s">
        <v>59</v>
      </c>
      <c r="B20" t="s">
        <v>70</v>
      </c>
      <c r="C20">
        <v>1</v>
      </c>
      <c r="D20" t="s">
        <v>34</v>
      </c>
    </row>
    <row r="21" spans="1:4" x14ac:dyDescent="0.25">
      <c r="A21" t="s">
        <v>60</v>
      </c>
      <c r="B21" t="s">
        <v>43</v>
      </c>
      <c r="C21">
        <v>1</v>
      </c>
      <c r="D21" t="s">
        <v>34</v>
      </c>
    </row>
    <row r="23" spans="1:4" x14ac:dyDescent="0.25">
      <c r="B23" s="2" t="s">
        <v>21</v>
      </c>
      <c r="C23" s="2">
        <v>1.3</v>
      </c>
    </row>
    <row r="24" spans="1:4" x14ac:dyDescent="0.25">
      <c r="B24" s="2" t="s">
        <v>22</v>
      </c>
      <c r="C24" s="2">
        <v>0.56999999999999995</v>
      </c>
    </row>
    <row r="28" spans="1:4" x14ac:dyDescent="0.25">
      <c r="B28" s="2"/>
      <c r="C28" s="2"/>
    </row>
    <row r="29" spans="1:4" x14ac:dyDescent="0.25">
      <c r="B29" s="2"/>
      <c r="C29" s="2"/>
    </row>
    <row r="31" spans="1:4" x14ac:dyDescent="0.25">
      <c r="B31" s="2"/>
      <c r="C31" s="2"/>
    </row>
    <row r="32" spans="1:4" x14ac:dyDescent="0.25">
      <c r="B32" s="2"/>
      <c r="C32" s="2"/>
    </row>
    <row r="33" spans="2:3" x14ac:dyDescent="0.25">
      <c r="B33" s="2"/>
      <c r="C33" s="2"/>
    </row>
    <row r="34" spans="2:3" x14ac:dyDescent="0.25">
      <c r="B34" s="2"/>
      <c r="C34" s="2"/>
    </row>
    <row r="43" spans="2:3" x14ac:dyDescent="0.25">
      <c r="B43" s="2"/>
      <c r="C43" s="2"/>
    </row>
    <row r="44" spans="2:3" x14ac:dyDescent="0.25">
      <c r="B44" s="2"/>
      <c r="C44" s="2"/>
    </row>
    <row r="59" spans="2:3" x14ac:dyDescent="0.25">
      <c r="B59" s="2"/>
      <c r="C59" s="2"/>
    </row>
    <row r="60" spans="2:3" x14ac:dyDescent="0.25">
      <c r="B60" s="2"/>
      <c r="C60" s="2"/>
    </row>
    <row r="93" spans="2:3" x14ac:dyDescent="0.25">
      <c r="B93" s="2"/>
      <c r="C93" s="2"/>
    </row>
    <row r="94" spans="2:3" x14ac:dyDescent="0.25">
      <c r="B94" s="2"/>
      <c r="C94" s="2"/>
    </row>
    <row r="103" spans="2:3" x14ac:dyDescent="0.25">
      <c r="B103" s="2"/>
      <c r="C103" s="2"/>
    </row>
    <row r="104" spans="2:3" x14ac:dyDescent="0.25">
      <c r="B104" s="2"/>
      <c r="C104" s="2"/>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EA161-955E-444E-8E58-6D41412FDD4A}">
  <sheetPr codeName="Feuil8"/>
  <dimension ref="A1:B23"/>
  <sheetViews>
    <sheetView showGridLines="0" zoomScale="130" zoomScaleNormal="130" workbookViewId="0">
      <selection activeCell="A20" sqref="A20"/>
    </sheetView>
  </sheetViews>
  <sheetFormatPr baseColWidth="10" defaultRowHeight="15" x14ac:dyDescent="0.25"/>
  <cols>
    <col min="1" max="1" width="45.7109375" customWidth="1"/>
    <col min="2" max="2" width="15.7109375" customWidth="1"/>
  </cols>
  <sheetData>
    <row r="1" spans="1:2" x14ac:dyDescent="0.25">
      <c r="A1" s="17" t="s">
        <v>98</v>
      </c>
      <c r="B1" s="18"/>
    </row>
    <row r="2" spans="1:2" x14ac:dyDescent="0.25">
      <c r="A2" s="8"/>
      <c r="B2" s="8"/>
    </row>
    <row r="3" spans="1:2" x14ac:dyDescent="0.25">
      <c r="A3" s="8" t="s">
        <v>99</v>
      </c>
      <c r="B3" s="8">
        <v>13</v>
      </c>
    </row>
    <row r="4" spans="1:2" x14ac:dyDescent="0.25">
      <c r="A4" s="8" t="s">
        <v>100</v>
      </c>
      <c r="B4" s="8">
        <v>13</v>
      </c>
    </row>
    <row r="5" spans="1:2" x14ac:dyDescent="0.25">
      <c r="A5" s="8" t="s">
        <v>101</v>
      </c>
      <c r="B5" s="8">
        <v>0</v>
      </c>
    </row>
    <row r="6" spans="1:2" x14ac:dyDescent="0.25">
      <c r="A6" s="8" t="s">
        <v>28</v>
      </c>
      <c r="B6" s="8" t="s">
        <v>29</v>
      </c>
    </row>
    <row r="7" spans="1:2" x14ac:dyDescent="0.25">
      <c r="A7" s="8"/>
      <c r="B7" s="8"/>
    </row>
    <row r="8" spans="1:2" x14ac:dyDescent="0.25">
      <c r="A8" s="8" t="s">
        <v>102</v>
      </c>
      <c r="B8" s="8">
        <v>1</v>
      </c>
    </row>
    <row r="9" spans="1:2" x14ac:dyDescent="0.25">
      <c r="A9" s="8" t="s">
        <v>30</v>
      </c>
      <c r="B9" s="8">
        <v>0</v>
      </c>
    </row>
    <row r="10" spans="1:2" x14ac:dyDescent="0.25">
      <c r="A10" s="8"/>
      <c r="B10" s="8"/>
    </row>
    <row r="11" spans="1:2" x14ac:dyDescent="0.25">
      <c r="A11" s="8" t="s">
        <v>103</v>
      </c>
      <c r="B11" s="8">
        <v>13</v>
      </c>
    </row>
    <row r="12" spans="1:2" x14ac:dyDescent="0.25">
      <c r="A12" s="8" t="s">
        <v>104</v>
      </c>
      <c r="B12" s="8">
        <v>0</v>
      </c>
    </row>
    <row r="13" spans="1:2" x14ac:dyDescent="0.25">
      <c r="A13" s="8" t="s">
        <v>105</v>
      </c>
      <c r="B13" s="8">
        <v>0</v>
      </c>
    </row>
    <row r="14" spans="1:2" x14ac:dyDescent="0.25">
      <c r="A14" s="8"/>
      <c r="B14" s="8"/>
    </row>
    <row r="15" spans="1:2" x14ac:dyDescent="0.25">
      <c r="A15" s="8"/>
      <c r="B15" s="8"/>
    </row>
    <row r="16" spans="1:2" x14ac:dyDescent="0.25">
      <c r="A16" s="17" t="s">
        <v>31</v>
      </c>
      <c r="B16" s="18"/>
    </row>
    <row r="17" spans="1:2" x14ac:dyDescent="0.25">
      <c r="A17" s="8"/>
      <c r="B17" s="8"/>
    </row>
    <row r="18" spans="1:2" x14ac:dyDescent="0.25">
      <c r="A18" s="8" t="s">
        <v>32</v>
      </c>
      <c r="B18" s="8">
        <v>20</v>
      </c>
    </row>
    <row r="19" spans="1:2" x14ac:dyDescent="0.25">
      <c r="A19" s="8" t="s">
        <v>106</v>
      </c>
      <c r="B19" s="8">
        <v>7</v>
      </c>
    </row>
    <row r="20" spans="1:2" x14ac:dyDescent="0.25">
      <c r="A20" s="8" t="s">
        <v>107</v>
      </c>
      <c r="B20" s="8" t="s">
        <v>298</v>
      </c>
    </row>
    <row r="21" spans="1:2" x14ac:dyDescent="0.25">
      <c r="A21" s="8"/>
      <c r="B21" s="8"/>
    </row>
    <row r="22" spans="1:2" x14ac:dyDescent="0.25">
      <c r="A22" s="8"/>
      <c r="B22" s="8"/>
    </row>
    <row r="23" spans="1:2" x14ac:dyDescent="0.25">
      <c r="A23" s="4" t="s">
        <v>108</v>
      </c>
    </row>
  </sheetData>
  <mergeCells count="2">
    <mergeCell ref="A1:B1"/>
    <mergeCell ref="A16:B16"/>
  </mergeCells>
  <hyperlinks>
    <hyperlink ref="A23" location="'Details_Suivi'!A1" display="Voir les listes de suivi détaillées" xr:uid="{9E69DCD9-9554-4295-99AF-9D0C6E3FC17A}"/>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6312FD-E37A-443A-B48A-122C962B2424}">
  <sheetPr codeName="Feuil10"/>
  <dimension ref="A1:B28"/>
  <sheetViews>
    <sheetView workbookViewId="0"/>
  </sheetViews>
  <sheetFormatPr baseColWidth="10" defaultRowHeight="15" x14ac:dyDescent="0.25"/>
  <cols>
    <col min="1" max="2" width="35.7109375" customWidth="1"/>
  </cols>
  <sheetData>
    <row r="1" spans="1:2" x14ac:dyDescent="0.25">
      <c r="A1" s="2" t="s">
        <v>109</v>
      </c>
    </row>
    <row r="3" spans="1:2" x14ac:dyDescent="0.25">
      <c r="A3" s="2" t="s">
        <v>110</v>
      </c>
      <c r="B3" t="s">
        <v>94</v>
      </c>
    </row>
    <row r="5" spans="1:2" x14ac:dyDescent="0.25">
      <c r="A5" s="2" t="s">
        <v>111</v>
      </c>
      <c r="B5" t="s">
        <v>254</v>
      </c>
    </row>
    <row r="6" spans="1:2" x14ac:dyDescent="0.25">
      <c r="B6" t="s">
        <v>268</v>
      </c>
    </row>
    <row r="7" spans="1:2" x14ac:dyDescent="0.25">
      <c r="B7" t="s">
        <v>270</v>
      </c>
    </row>
    <row r="8" spans="1:2" x14ac:dyDescent="0.25">
      <c r="B8" t="s">
        <v>261</v>
      </c>
    </row>
    <row r="9" spans="1:2" x14ac:dyDescent="0.25">
      <c r="B9" t="s">
        <v>267</v>
      </c>
    </row>
    <row r="10" spans="1:2" x14ac:dyDescent="0.25">
      <c r="B10" t="s">
        <v>251</v>
      </c>
    </row>
    <row r="11" spans="1:2" x14ac:dyDescent="0.25">
      <c r="B11" t="s">
        <v>264</v>
      </c>
    </row>
    <row r="12" spans="1:2" x14ac:dyDescent="0.25">
      <c r="B12" t="s">
        <v>258</v>
      </c>
    </row>
    <row r="13" spans="1:2" x14ac:dyDescent="0.25">
      <c r="B13" t="s">
        <v>257</v>
      </c>
    </row>
    <row r="14" spans="1:2" x14ac:dyDescent="0.25">
      <c r="B14" t="s">
        <v>260</v>
      </c>
    </row>
    <row r="15" spans="1:2" x14ac:dyDescent="0.25">
      <c r="B15" t="s">
        <v>262</v>
      </c>
    </row>
    <row r="16" spans="1:2" x14ac:dyDescent="0.25">
      <c r="B16" t="s">
        <v>252</v>
      </c>
    </row>
    <row r="17" spans="1:2" x14ac:dyDescent="0.25">
      <c r="B17" t="s">
        <v>269</v>
      </c>
    </row>
    <row r="19" spans="1:2" x14ac:dyDescent="0.25">
      <c r="A19" s="2" t="s">
        <v>112</v>
      </c>
      <c r="B19" t="s">
        <v>268</v>
      </c>
    </row>
    <row r="20" spans="1:2" x14ac:dyDescent="0.25">
      <c r="B20" t="s">
        <v>270</v>
      </c>
    </row>
    <row r="21" spans="1:2" x14ac:dyDescent="0.25">
      <c r="B21" t="s">
        <v>267</v>
      </c>
    </row>
    <row r="22" spans="1:2" x14ac:dyDescent="0.25">
      <c r="B22" t="s">
        <v>251</v>
      </c>
    </row>
    <row r="23" spans="1:2" x14ac:dyDescent="0.25">
      <c r="B23" t="s">
        <v>258</v>
      </c>
    </row>
    <row r="24" spans="1:2" x14ac:dyDescent="0.25">
      <c r="B24" t="s">
        <v>257</v>
      </c>
    </row>
    <row r="25" spans="1:2" x14ac:dyDescent="0.25">
      <c r="B25" t="s">
        <v>260</v>
      </c>
    </row>
    <row r="26" spans="1:2" x14ac:dyDescent="0.25">
      <c r="B26" t="s">
        <v>262</v>
      </c>
    </row>
    <row r="27" spans="1:2" x14ac:dyDescent="0.25">
      <c r="B27" t="s">
        <v>252</v>
      </c>
    </row>
    <row r="28" spans="1:2" x14ac:dyDescent="0.25">
      <c r="B28" t="s">
        <v>269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6868EE-B1B8-447B-89AC-C343E36B1F6E}">
  <sheetPr codeName="Feuil9"/>
  <dimension ref="A1:I31"/>
  <sheetViews>
    <sheetView workbookViewId="0"/>
  </sheetViews>
  <sheetFormatPr baseColWidth="10" defaultRowHeight="15" x14ac:dyDescent="0.25"/>
  <cols>
    <col min="1" max="1" width="7.85546875" bestFit="1" customWidth="1"/>
    <col min="2" max="2" width="17.140625" bestFit="1" customWidth="1"/>
    <col min="3" max="3" width="12.7109375" bestFit="1" customWidth="1"/>
    <col min="4" max="4" width="22.140625" bestFit="1" customWidth="1"/>
    <col min="5" max="10" width="7.85546875" bestFit="1" customWidth="1"/>
    <col min="11" max="23" width="7.7109375" bestFit="1" customWidth="1"/>
  </cols>
  <sheetData>
    <row r="1" spans="1:9" x14ac:dyDescent="0.25">
      <c r="A1" s="2" t="s">
        <v>0</v>
      </c>
      <c r="B1" s="2" t="s">
        <v>39</v>
      </c>
      <c r="C1" s="2" t="s">
        <v>41</v>
      </c>
      <c r="D1" s="2" t="s">
        <v>40</v>
      </c>
    </row>
    <row r="2" spans="1:9" x14ac:dyDescent="0.25">
      <c r="A2" t="s">
        <v>2</v>
      </c>
      <c r="B2" t="s">
        <v>10</v>
      </c>
      <c r="C2">
        <f t="shared" ref="C2:C27" si="0">IFERROR(MATCH($B2, $D2:$CV2, 0), "Non trouvé")</f>
        <v>5</v>
      </c>
      <c r="D2" t="s">
        <v>69</v>
      </c>
      <c r="E2" t="s">
        <v>70</v>
      </c>
      <c r="F2" t="s">
        <v>3</v>
      </c>
      <c r="G2" t="s">
        <v>43</v>
      </c>
      <c r="H2" t="s">
        <v>10</v>
      </c>
      <c r="I2" t="s">
        <v>48</v>
      </c>
    </row>
    <row r="3" spans="1:9" x14ac:dyDescent="0.25">
      <c r="A3" t="s">
        <v>4</v>
      </c>
      <c r="B3" t="s">
        <v>48</v>
      </c>
      <c r="C3">
        <f t="shared" si="0"/>
        <v>1</v>
      </c>
      <c r="D3" t="s">
        <v>48</v>
      </c>
      <c r="E3" t="s">
        <v>10</v>
      </c>
      <c r="F3" t="s">
        <v>69</v>
      </c>
      <c r="G3" t="s">
        <v>3</v>
      </c>
      <c r="H3" t="s">
        <v>43</v>
      </c>
      <c r="I3" t="s">
        <v>70</v>
      </c>
    </row>
    <row r="4" spans="1:9" x14ac:dyDescent="0.25">
      <c r="A4" t="s">
        <v>11</v>
      </c>
      <c r="B4" t="s">
        <v>10</v>
      </c>
      <c r="C4">
        <f t="shared" si="0"/>
        <v>4</v>
      </c>
      <c r="D4" t="s">
        <v>43</v>
      </c>
      <c r="E4" t="s">
        <v>69</v>
      </c>
      <c r="F4" t="s">
        <v>48</v>
      </c>
      <c r="G4" t="s">
        <v>10</v>
      </c>
      <c r="H4" t="s">
        <v>70</v>
      </c>
      <c r="I4" t="s">
        <v>3</v>
      </c>
    </row>
    <row r="5" spans="1:9" x14ac:dyDescent="0.25">
      <c r="A5" t="s">
        <v>12</v>
      </c>
      <c r="B5" t="s">
        <v>70</v>
      </c>
      <c r="C5">
        <f t="shared" si="0"/>
        <v>2</v>
      </c>
      <c r="D5" t="s">
        <v>3</v>
      </c>
      <c r="E5" t="s">
        <v>70</v>
      </c>
      <c r="F5" t="s">
        <v>69</v>
      </c>
      <c r="G5" t="s">
        <v>48</v>
      </c>
      <c r="H5" t="s">
        <v>43</v>
      </c>
      <c r="I5" t="s">
        <v>10</v>
      </c>
    </row>
    <row r="6" spans="1:9" x14ac:dyDescent="0.25">
      <c r="A6" t="s">
        <v>13</v>
      </c>
      <c r="B6" t="s">
        <v>10</v>
      </c>
      <c r="C6">
        <f t="shared" si="0"/>
        <v>2</v>
      </c>
      <c r="D6" t="s">
        <v>43</v>
      </c>
      <c r="E6" t="s">
        <v>10</v>
      </c>
      <c r="F6" t="s">
        <v>70</v>
      </c>
      <c r="G6" t="s">
        <v>69</v>
      </c>
      <c r="H6" t="s">
        <v>48</v>
      </c>
      <c r="I6" t="s">
        <v>3</v>
      </c>
    </row>
    <row r="7" spans="1:9" x14ac:dyDescent="0.25">
      <c r="A7" t="s">
        <v>14</v>
      </c>
      <c r="B7" t="s">
        <v>10</v>
      </c>
      <c r="C7">
        <f t="shared" si="0"/>
        <v>1</v>
      </c>
      <c r="D7" t="s">
        <v>10</v>
      </c>
      <c r="E7" t="s">
        <v>48</v>
      </c>
      <c r="F7" t="s">
        <v>3</v>
      </c>
      <c r="G7" t="s">
        <v>70</v>
      </c>
      <c r="H7" t="s">
        <v>69</v>
      </c>
      <c r="I7" t="s">
        <v>43</v>
      </c>
    </row>
    <row r="8" spans="1:9" x14ac:dyDescent="0.25">
      <c r="A8" t="s">
        <v>15</v>
      </c>
      <c r="B8" t="s">
        <v>69</v>
      </c>
      <c r="C8">
        <f t="shared" si="0"/>
        <v>1</v>
      </c>
      <c r="D8" t="s">
        <v>69</v>
      </c>
      <c r="E8" t="s">
        <v>3</v>
      </c>
      <c r="F8" t="s">
        <v>43</v>
      </c>
      <c r="G8" t="s">
        <v>10</v>
      </c>
      <c r="H8" t="s">
        <v>48</v>
      </c>
      <c r="I8" t="s">
        <v>70</v>
      </c>
    </row>
    <row r="9" spans="1:9" x14ac:dyDescent="0.25">
      <c r="A9" t="s">
        <v>16</v>
      </c>
      <c r="B9" t="s">
        <v>43</v>
      </c>
      <c r="C9">
        <f t="shared" si="0"/>
        <v>4</v>
      </c>
      <c r="D9" t="s">
        <v>48</v>
      </c>
      <c r="E9" t="s">
        <v>69</v>
      </c>
      <c r="F9" t="s">
        <v>70</v>
      </c>
      <c r="G9" t="s">
        <v>43</v>
      </c>
      <c r="H9" t="s">
        <v>10</v>
      </c>
      <c r="I9" t="s">
        <v>3</v>
      </c>
    </row>
    <row r="10" spans="1:9" x14ac:dyDescent="0.25">
      <c r="A10" t="s">
        <v>17</v>
      </c>
      <c r="B10" t="s">
        <v>43</v>
      </c>
      <c r="C10">
        <f t="shared" si="0"/>
        <v>6</v>
      </c>
      <c r="D10" t="s">
        <v>70</v>
      </c>
      <c r="E10" t="s">
        <v>48</v>
      </c>
      <c r="F10" t="s">
        <v>3</v>
      </c>
      <c r="G10" t="s">
        <v>10</v>
      </c>
      <c r="H10" t="s">
        <v>69</v>
      </c>
      <c r="I10" t="s">
        <v>43</v>
      </c>
    </row>
    <row r="11" spans="1:9" x14ac:dyDescent="0.25">
      <c r="A11" t="s">
        <v>18</v>
      </c>
      <c r="B11" t="s">
        <v>10</v>
      </c>
      <c r="C11">
        <f t="shared" si="0"/>
        <v>1</v>
      </c>
      <c r="D11" t="s">
        <v>10</v>
      </c>
      <c r="E11" t="s">
        <v>70</v>
      </c>
      <c r="F11" t="s">
        <v>69</v>
      </c>
      <c r="G11" t="s">
        <v>43</v>
      </c>
      <c r="H11" t="s">
        <v>48</v>
      </c>
      <c r="I11" t="s">
        <v>3</v>
      </c>
    </row>
    <row r="12" spans="1:9" x14ac:dyDescent="0.25">
      <c r="A12" t="s">
        <v>51</v>
      </c>
      <c r="B12" t="s">
        <v>10</v>
      </c>
      <c r="C12">
        <f t="shared" si="0"/>
        <v>6</v>
      </c>
      <c r="D12" t="s">
        <v>70</v>
      </c>
      <c r="E12" t="s">
        <v>43</v>
      </c>
      <c r="F12" t="s">
        <v>48</v>
      </c>
      <c r="G12" t="s">
        <v>69</v>
      </c>
      <c r="H12" t="s">
        <v>3</v>
      </c>
      <c r="I12" t="s">
        <v>10</v>
      </c>
    </row>
    <row r="13" spans="1:9" x14ac:dyDescent="0.25">
      <c r="A13" t="s">
        <v>52</v>
      </c>
      <c r="B13" t="s">
        <v>70</v>
      </c>
      <c r="C13">
        <f t="shared" si="0"/>
        <v>4</v>
      </c>
      <c r="D13" t="s">
        <v>10</v>
      </c>
      <c r="E13" t="s">
        <v>69</v>
      </c>
      <c r="F13" t="s">
        <v>43</v>
      </c>
      <c r="G13" t="s">
        <v>70</v>
      </c>
      <c r="H13" t="s">
        <v>48</v>
      </c>
      <c r="I13" t="s">
        <v>3</v>
      </c>
    </row>
    <row r="14" spans="1:9" x14ac:dyDescent="0.25">
      <c r="A14" t="s">
        <v>53</v>
      </c>
      <c r="B14" t="s">
        <v>3</v>
      </c>
      <c r="C14">
        <f t="shared" si="0"/>
        <v>1</v>
      </c>
      <c r="D14" t="s">
        <v>3</v>
      </c>
      <c r="E14" t="s">
        <v>48</v>
      </c>
      <c r="F14" t="s">
        <v>70</v>
      </c>
      <c r="G14" t="s">
        <v>10</v>
      </c>
      <c r="H14" t="s">
        <v>43</v>
      </c>
      <c r="I14" t="s">
        <v>69</v>
      </c>
    </row>
    <row r="15" spans="1:9" x14ac:dyDescent="0.25">
      <c r="A15" t="s">
        <v>54</v>
      </c>
      <c r="B15" t="s">
        <v>69</v>
      </c>
      <c r="C15">
        <f t="shared" si="0"/>
        <v>3</v>
      </c>
      <c r="D15" t="s">
        <v>43</v>
      </c>
      <c r="E15" t="s">
        <v>70</v>
      </c>
      <c r="F15" t="s">
        <v>69</v>
      </c>
      <c r="G15" t="s">
        <v>3</v>
      </c>
      <c r="H15" t="s">
        <v>48</v>
      </c>
      <c r="I15" t="s">
        <v>10</v>
      </c>
    </row>
    <row r="16" spans="1:9" x14ac:dyDescent="0.25">
      <c r="A16" t="s">
        <v>55</v>
      </c>
      <c r="B16" t="s">
        <v>10</v>
      </c>
      <c r="C16">
        <f t="shared" si="0"/>
        <v>2</v>
      </c>
      <c r="D16" t="s">
        <v>70</v>
      </c>
      <c r="E16" t="s">
        <v>10</v>
      </c>
      <c r="F16" t="s">
        <v>43</v>
      </c>
      <c r="G16" t="s">
        <v>69</v>
      </c>
      <c r="H16" t="s">
        <v>3</v>
      </c>
      <c r="I16" t="s">
        <v>48</v>
      </c>
    </row>
    <row r="17" spans="1:9" x14ac:dyDescent="0.25">
      <c r="A17" t="s">
        <v>56</v>
      </c>
      <c r="B17" t="s">
        <v>3</v>
      </c>
      <c r="C17">
        <f t="shared" si="0"/>
        <v>3</v>
      </c>
      <c r="D17" t="s">
        <v>48</v>
      </c>
      <c r="E17" t="s">
        <v>69</v>
      </c>
      <c r="F17" t="s">
        <v>3</v>
      </c>
      <c r="G17" t="s">
        <v>43</v>
      </c>
      <c r="H17" t="s">
        <v>70</v>
      </c>
      <c r="I17" t="s">
        <v>10</v>
      </c>
    </row>
    <row r="18" spans="1:9" x14ac:dyDescent="0.25">
      <c r="A18" t="s">
        <v>57</v>
      </c>
      <c r="B18" t="s">
        <v>69</v>
      </c>
      <c r="C18">
        <f t="shared" si="0"/>
        <v>1</v>
      </c>
      <c r="D18" t="s">
        <v>69</v>
      </c>
      <c r="E18" t="s">
        <v>70</v>
      </c>
      <c r="F18" t="s">
        <v>43</v>
      </c>
      <c r="G18" t="s">
        <v>48</v>
      </c>
      <c r="H18" t="s">
        <v>10</v>
      </c>
      <c r="I18" t="s">
        <v>3</v>
      </c>
    </row>
    <row r="19" spans="1:9" x14ac:dyDescent="0.25">
      <c r="A19" t="s">
        <v>58</v>
      </c>
      <c r="B19" t="s">
        <v>70</v>
      </c>
      <c r="C19">
        <f t="shared" si="0"/>
        <v>5</v>
      </c>
      <c r="D19" t="s">
        <v>10</v>
      </c>
      <c r="E19" t="s">
        <v>48</v>
      </c>
      <c r="F19" t="s">
        <v>69</v>
      </c>
      <c r="G19" t="s">
        <v>3</v>
      </c>
      <c r="H19" t="s">
        <v>70</v>
      </c>
      <c r="I19" t="s">
        <v>43</v>
      </c>
    </row>
    <row r="20" spans="1:9" x14ac:dyDescent="0.25">
      <c r="A20" t="s">
        <v>59</v>
      </c>
      <c r="B20" t="s">
        <v>69</v>
      </c>
      <c r="C20">
        <f t="shared" si="0"/>
        <v>1</v>
      </c>
      <c r="D20" t="s">
        <v>69</v>
      </c>
      <c r="E20" t="s">
        <v>3</v>
      </c>
      <c r="F20" t="s">
        <v>70</v>
      </c>
      <c r="G20" t="s">
        <v>10</v>
      </c>
      <c r="H20" t="s">
        <v>43</v>
      </c>
      <c r="I20" t="s">
        <v>48</v>
      </c>
    </row>
    <row r="21" spans="1:9" x14ac:dyDescent="0.25">
      <c r="A21" t="s">
        <v>60</v>
      </c>
      <c r="B21" t="s">
        <v>10</v>
      </c>
      <c r="C21">
        <f t="shared" si="0"/>
        <v>2</v>
      </c>
      <c r="D21" t="s">
        <v>70</v>
      </c>
      <c r="E21" t="s">
        <v>10</v>
      </c>
      <c r="F21" t="s">
        <v>48</v>
      </c>
      <c r="G21" t="s">
        <v>69</v>
      </c>
      <c r="H21" t="s">
        <v>3</v>
      </c>
      <c r="I21" t="s">
        <v>43</v>
      </c>
    </row>
    <row r="22" spans="1:9" x14ac:dyDescent="0.25">
      <c r="A22" t="s">
        <v>61</v>
      </c>
      <c r="B22" t="s">
        <v>70</v>
      </c>
      <c r="C22">
        <f t="shared" si="0"/>
        <v>4</v>
      </c>
      <c r="D22" t="s">
        <v>10</v>
      </c>
      <c r="E22" t="s">
        <v>3</v>
      </c>
      <c r="F22" t="s">
        <v>69</v>
      </c>
      <c r="G22" t="s">
        <v>70</v>
      </c>
      <c r="H22" t="s">
        <v>43</v>
      </c>
      <c r="I22" t="s">
        <v>48</v>
      </c>
    </row>
    <row r="23" spans="1:9" x14ac:dyDescent="0.25">
      <c r="A23" t="s">
        <v>62</v>
      </c>
      <c r="B23" t="s">
        <v>69</v>
      </c>
      <c r="C23">
        <f t="shared" si="0"/>
        <v>4</v>
      </c>
      <c r="D23" t="s">
        <v>43</v>
      </c>
      <c r="E23" t="s">
        <v>10</v>
      </c>
      <c r="F23" t="s">
        <v>48</v>
      </c>
      <c r="G23" t="s">
        <v>69</v>
      </c>
      <c r="H23" t="s">
        <v>70</v>
      </c>
      <c r="I23" t="s">
        <v>3</v>
      </c>
    </row>
    <row r="24" spans="1:9" x14ac:dyDescent="0.25">
      <c r="A24" t="s">
        <v>63</v>
      </c>
      <c r="B24" t="s">
        <v>70</v>
      </c>
      <c r="C24">
        <f t="shared" si="0"/>
        <v>3</v>
      </c>
      <c r="D24" t="s">
        <v>3</v>
      </c>
      <c r="E24" t="s">
        <v>48</v>
      </c>
      <c r="F24" t="s">
        <v>70</v>
      </c>
      <c r="G24" t="s">
        <v>43</v>
      </c>
      <c r="H24" t="s">
        <v>69</v>
      </c>
      <c r="I24" t="s">
        <v>10</v>
      </c>
    </row>
    <row r="25" spans="1:9" x14ac:dyDescent="0.25">
      <c r="A25" t="s">
        <v>64</v>
      </c>
      <c r="B25" t="s">
        <v>43</v>
      </c>
      <c r="C25">
        <f t="shared" si="0"/>
        <v>3</v>
      </c>
      <c r="D25" t="s">
        <v>70</v>
      </c>
      <c r="E25" t="s">
        <v>69</v>
      </c>
      <c r="F25" t="s">
        <v>43</v>
      </c>
      <c r="G25" t="s">
        <v>48</v>
      </c>
      <c r="H25" t="s">
        <v>10</v>
      </c>
      <c r="I25" t="s">
        <v>3</v>
      </c>
    </row>
    <row r="26" spans="1:9" x14ac:dyDescent="0.25">
      <c r="A26" t="s">
        <v>65</v>
      </c>
      <c r="B26" t="s">
        <v>3</v>
      </c>
      <c r="C26">
        <f t="shared" si="0"/>
        <v>3</v>
      </c>
      <c r="D26" t="s">
        <v>48</v>
      </c>
      <c r="E26" t="s">
        <v>70</v>
      </c>
      <c r="F26" t="s">
        <v>3</v>
      </c>
      <c r="G26" t="s">
        <v>43</v>
      </c>
      <c r="H26" t="s">
        <v>69</v>
      </c>
      <c r="I26" t="s">
        <v>10</v>
      </c>
    </row>
    <row r="27" spans="1:9" x14ac:dyDescent="0.25">
      <c r="A27" t="s">
        <v>66</v>
      </c>
      <c r="B27" t="s">
        <v>69</v>
      </c>
      <c r="C27">
        <f t="shared" si="0"/>
        <v>4</v>
      </c>
      <c r="D27" t="s">
        <v>3</v>
      </c>
      <c r="E27" t="s">
        <v>10</v>
      </c>
      <c r="F27" t="s">
        <v>70</v>
      </c>
      <c r="G27" t="s">
        <v>69</v>
      </c>
      <c r="H27" t="s">
        <v>48</v>
      </c>
      <c r="I27" t="s">
        <v>43</v>
      </c>
    </row>
    <row r="28" spans="1:9" x14ac:dyDescent="0.25">
      <c r="A28" t="s">
        <v>67</v>
      </c>
      <c r="B28" t="s">
        <v>78</v>
      </c>
      <c r="C28" t="s">
        <v>79</v>
      </c>
      <c r="D28" t="s">
        <v>43</v>
      </c>
      <c r="E28" t="s">
        <v>70</v>
      </c>
      <c r="F28" t="s">
        <v>48</v>
      </c>
      <c r="G28" t="s">
        <v>3</v>
      </c>
      <c r="H28" t="s">
        <v>69</v>
      </c>
      <c r="I28" t="s">
        <v>10</v>
      </c>
    </row>
    <row r="29" spans="1:9" x14ac:dyDescent="0.25">
      <c r="A29" t="s">
        <v>68</v>
      </c>
      <c r="B29" t="s">
        <v>70</v>
      </c>
      <c r="C29">
        <f>IFERROR(MATCH($B29, $D29:$CV29, 0), "Non trouvé")</f>
        <v>3</v>
      </c>
      <c r="D29" t="s">
        <v>69</v>
      </c>
      <c r="E29" t="s">
        <v>43</v>
      </c>
      <c r="F29" t="s">
        <v>70</v>
      </c>
      <c r="G29" t="s">
        <v>48</v>
      </c>
      <c r="H29" t="s">
        <v>10</v>
      </c>
      <c r="I29" t="s">
        <v>3</v>
      </c>
    </row>
    <row r="30" spans="1:9" x14ac:dyDescent="0.25">
      <c r="A30" t="s">
        <v>74</v>
      </c>
      <c r="B30" t="s">
        <v>70</v>
      </c>
      <c r="C30">
        <f>IFERROR(MATCH($B30, $D30:$CV30, 0), "Non trouvé")</f>
        <v>2</v>
      </c>
      <c r="D30" t="s">
        <v>10</v>
      </c>
      <c r="E30" t="s">
        <v>70</v>
      </c>
      <c r="F30" t="s">
        <v>48</v>
      </c>
      <c r="G30" t="s">
        <v>3</v>
      </c>
      <c r="H30" t="s">
        <v>43</v>
      </c>
      <c r="I30" t="s">
        <v>69</v>
      </c>
    </row>
    <row r="31" spans="1:9" x14ac:dyDescent="0.25">
      <c r="A31" t="s">
        <v>75</v>
      </c>
      <c r="B31" t="s">
        <v>3</v>
      </c>
      <c r="C31">
        <f>IFERROR(MATCH($B31, $D31:$CV31, 0), "Non trouvé")</f>
        <v>2</v>
      </c>
      <c r="D31" t="s">
        <v>43</v>
      </c>
      <c r="E31" t="s">
        <v>3</v>
      </c>
      <c r="F31" t="s">
        <v>10</v>
      </c>
      <c r="G31" t="s">
        <v>48</v>
      </c>
      <c r="H31" t="s">
        <v>69</v>
      </c>
      <c r="I31" t="s">
        <v>70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6F5482-EC42-48C7-A537-BA8E604DB765}">
  <sheetPr codeName="Feuil11"/>
  <dimension ref="A1"/>
  <sheetViews>
    <sheetView showGridLines="0" workbookViewId="0">
      <selection activeCell="K29" sqref="K29"/>
    </sheetView>
  </sheetViews>
  <sheetFormatPr baseColWidth="10" defaultRowHeight="15" x14ac:dyDescent="0.25"/>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0D430-A357-400B-B7DD-5F733412C79F}">
  <sheetPr codeName="Feuil12"/>
  <dimension ref="A1:J19"/>
  <sheetViews>
    <sheetView workbookViewId="0"/>
  </sheetViews>
  <sheetFormatPr baseColWidth="10" defaultRowHeight="15" x14ac:dyDescent="0.25"/>
  <cols>
    <col min="1" max="1" width="9.42578125" bestFit="1" customWidth="1"/>
    <col min="2" max="10" width="9.85546875" bestFit="1" customWidth="1"/>
    <col min="11" max="11" width="10.85546875" bestFit="1" customWidth="1"/>
  </cols>
  <sheetData>
    <row r="1" spans="1:10" s="2" customFormat="1" x14ac:dyDescent="0.25">
      <c r="A1" s="2" t="s">
        <v>80</v>
      </c>
      <c r="B1" s="2" t="s">
        <v>81</v>
      </c>
      <c r="C1" s="2" t="s">
        <v>82</v>
      </c>
      <c r="D1" s="2" t="s">
        <v>83</v>
      </c>
      <c r="E1" s="2" t="s">
        <v>84</v>
      </c>
      <c r="F1" s="2" t="s">
        <v>225</v>
      </c>
      <c r="G1" s="2" t="s">
        <v>278</v>
      </c>
      <c r="H1" s="2" t="s">
        <v>279</v>
      </c>
      <c r="I1" s="2" t="s">
        <v>280</v>
      </c>
      <c r="J1" s="2" t="s">
        <v>281</v>
      </c>
    </row>
    <row r="2" spans="1:10" x14ac:dyDescent="0.25">
      <c r="A2" t="s">
        <v>85</v>
      </c>
      <c r="B2" t="s">
        <v>161</v>
      </c>
      <c r="C2" t="s">
        <v>206</v>
      </c>
      <c r="D2" t="s">
        <v>208</v>
      </c>
      <c r="E2" t="s">
        <v>165</v>
      </c>
      <c r="F2" t="s">
        <v>186</v>
      </c>
      <c r="G2" t="s">
        <v>162</v>
      </c>
      <c r="H2" t="s">
        <v>158</v>
      </c>
      <c r="I2" t="s">
        <v>188</v>
      </c>
    </row>
    <row r="3" spans="1:10" x14ac:dyDescent="0.25">
      <c r="A3" t="s">
        <v>86</v>
      </c>
      <c r="B3" t="s">
        <v>64</v>
      </c>
      <c r="C3" t="s">
        <v>138</v>
      </c>
      <c r="D3" t="s">
        <v>12</v>
      </c>
      <c r="E3" t="s">
        <v>178</v>
      </c>
      <c r="F3" t="s">
        <v>55</v>
      </c>
    </row>
    <row r="4" spans="1:10" x14ac:dyDescent="0.25">
      <c r="A4" t="s">
        <v>87</v>
      </c>
      <c r="B4" t="s">
        <v>148</v>
      </c>
      <c r="C4" t="s">
        <v>74</v>
      </c>
      <c r="D4" t="s">
        <v>136</v>
      </c>
      <c r="E4" t="s">
        <v>174</v>
      </c>
    </row>
    <row r="5" spans="1:10" x14ac:dyDescent="0.25">
      <c r="A5" t="s">
        <v>226</v>
      </c>
      <c r="B5" t="s">
        <v>62</v>
      </c>
      <c r="C5" t="s">
        <v>176</v>
      </c>
      <c r="D5" t="s">
        <v>175</v>
      </c>
      <c r="E5" t="s">
        <v>60</v>
      </c>
      <c r="F5" t="s">
        <v>207</v>
      </c>
      <c r="G5" t="s">
        <v>131</v>
      </c>
      <c r="H5" t="s">
        <v>197</v>
      </c>
    </row>
    <row r="6" spans="1:10" x14ac:dyDescent="0.25">
      <c r="A6" t="s">
        <v>227</v>
      </c>
      <c r="B6" t="s">
        <v>211</v>
      </c>
      <c r="C6" t="s">
        <v>173</v>
      </c>
      <c r="D6" t="s">
        <v>56</v>
      </c>
      <c r="E6" t="s">
        <v>189</v>
      </c>
      <c r="F6" t="s">
        <v>169</v>
      </c>
      <c r="G6" t="s">
        <v>156</v>
      </c>
      <c r="H6" t="s">
        <v>220</v>
      </c>
    </row>
    <row r="7" spans="1:10" x14ac:dyDescent="0.25">
      <c r="A7" t="s">
        <v>228</v>
      </c>
      <c r="B7" t="s">
        <v>218</v>
      </c>
      <c r="C7" t="s">
        <v>216</v>
      </c>
      <c r="D7" t="s">
        <v>13</v>
      </c>
      <c r="E7" t="s">
        <v>196</v>
      </c>
      <c r="F7" t="s">
        <v>195</v>
      </c>
      <c r="G7" t="s">
        <v>16</v>
      </c>
      <c r="H7" t="s">
        <v>164</v>
      </c>
      <c r="I7" t="s">
        <v>167</v>
      </c>
    </row>
    <row r="8" spans="1:10" x14ac:dyDescent="0.25">
      <c r="A8" t="s">
        <v>229</v>
      </c>
      <c r="B8" t="s">
        <v>184</v>
      </c>
      <c r="C8" t="s">
        <v>274</v>
      </c>
      <c r="D8" t="s">
        <v>213</v>
      </c>
      <c r="E8" t="s">
        <v>170</v>
      </c>
      <c r="F8" t="s">
        <v>166</v>
      </c>
      <c r="G8" t="s">
        <v>194</v>
      </c>
      <c r="H8" t="s">
        <v>204</v>
      </c>
      <c r="I8" t="s">
        <v>221</v>
      </c>
      <c r="J8" t="s">
        <v>132</v>
      </c>
    </row>
    <row r="9" spans="1:10" x14ac:dyDescent="0.25">
      <c r="A9" t="s">
        <v>230</v>
      </c>
      <c r="B9" t="s">
        <v>65</v>
      </c>
      <c r="C9" t="s">
        <v>275</v>
      </c>
      <c r="D9" t="s">
        <v>151</v>
      </c>
      <c r="E9" t="s">
        <v>214</v>
      </c>
      <c r="F9" t="s">
        <v>52</v>
      </c>
      <c r="G9" t="s">
        <v>223</v>
      </c>
      <c r="H9" t="s">
        <v>219</v>
      </c>
      <c r="I9" t="s">
        <v>18</v>
      </c>
    </row>
    <row r="10" spans="1:10" x14ac:dyDescent="0.25">
      <c r="A10" t="s">
        <v>231</v>
      </c>
      <c r="B10" t="s">
        <v>182</v>
      </c>
      <c r="C10" t="s">
        <v>168</v>
      </c>
      <c r="D10" t="s">
        <v>205</v>
      </c>
      <c r="E10" t="s">
        <v>224</v>
      </c>
      <c r="F10" t="s">
        <v>153</v>
      </c>
      <c r="G10" t="s">
        <v>15</v>
      </c>
      <c r="H10" t="s">
        <v>51</v>
      </c>
      <c r="I10" t="s">
        <v>179</v>
      </c>
      <c r="J10" t="s">
        <v>157</v>
      </c>
    </row>
    <row r="11" spans="1:10" x14ac:dyDescent="0.25">
      <c r="A11" t="s">
        <v>232</v>
      </c>
      <c r="B11" t="s">
        <v>59</v>
      </c>
      <c r="C11" t="s">
        <v>11</v>
      </c>
      <c r="D11" t="s">
        <v>63</v>
      </c>
      <c r="E11" t="s">
        <v>147</v>
      </c>
      <c r="F11" t="s">
        <v>172</v>
      </c>
      <c r="G11" t="s">
        <v>67</v>
      </c>
      <c r="H11" t="s">
        <v>185</v>
      </c>
    </row>
    <row r="12" spans="1:10" x14ac:dyDescent="0.25">
      <c r="A12" t="s">
        <v>233</v>
      </c>
      <c r="B12" t="s">
        <v>75</v>
      </c>
      <c r="C12" t="s">
        <v>58</v>
      </c>
      <c r="D12" t="s">
        <v>190</v>
      </c>
      <c r="E12" t="s">
        <v>198</v>
      </c>
      <c r="F12" t="s">
        <v>202</v>
      </c>
      <c r="G12" t="s">
        <v>180</v>
      </c>
      <c r="H12" t="s">
        <v>53</v>
      </c>
    </row>
    <row r="13" spans="1:10" x14ac:dyDescent="0.25">
      <c r="A13" t="s">
        <v>234</v>
      </c>
      <c r="B13" t="s">
        <v>146</v>
      </c>
      <c r="C13" t="s">
        <v>134</v>
      </c>
      <c r="D13" t="s">
        <v>210</v>
      </c>
      <c r="E13" t="s">
        <v>141</v>
      </c>
      <c r="F13" t="s">
        <v>155</v>
      </c>
    </row>
    <row r="14" spans="1:10" x14ac:dyDescent="0.25">
      <c r="A14" t="s">
        <v>235</v>
      </c>
      <c r="B14" t="s">
        <v>193</v>
      </c>
      <c r="C14" t="s">
        <v>135</v>
      </c>
      <c r="D14" t="s">
        <v>152</v>
      </c>
      <c r="E14" t="s">
        <v>140</v>
      </c>
      <c r="F14" t="s">
        <v>66</v>
      </c>
      <c r="G14" t="s">
        <v>17</v>
      </c>
      <c r="H14" t="s">
        <v>145</v>
      </c>
      <c r="I14" t="s">
        <v>149</v>
      </c>
    </row>
    <row r="15" spans="1:10" x14ac:dyDescent="0.25">
      <c r="A15" t="s">
        <v>236</v>
      </c>
      <c r="B15" t="s">
        <v>200</v>
      </c>
      <c r="C15" t="s">
        <v>154</v>
      </c>
      <c r="D15" t="s">
        <v>54</v>
      </c>
      <c r="E15" t="s">
        <v>144</v>
      </c>
      <c r="F15" t="s">
        <v>14</v>
      </c>
      <c r="G15" t="s">
        <v>183</v>
      </c>
      <c r="H15" t="s">
        <v>217</v>
      </c>
      <c r="I15" t="s">
        <v>57</v>
      </c>
    </row>
    <row r="16" spans="1:10" x14ac:dyDescent="0.25">
      <c r="A16" t="s">
        <v>237</v>
      </c>
      <c r="B16" t="s">
        <v>222</v>
      </c>
      <c r="C16" t="s">
        <v>171</v>
      </c>
      <c r="D16" t="s">
        <v>2</v>
      </c>
      <c r="E16" t="s">
        <v>215</v>
      </c>
      <c r="F16" t="s">
        <v>201</v>
      </c>
    </row>
    <row r="17" spans="1:10" x14ac:dyDescent="0.25">
      <c r="A17" t="s">
        <v>238</v>
      </c>
      <c r="B17" t="s">
        <v>192</v>
      </c>
      <c r="C17" t="s">
        <v>4</v>
      </c>
      <c r="D17" t="s">
        <v>159</v>
      </c>
      <c r="E17" t="s">
        <v>276</v>
      </c>
      <c r="F17" t="s">
        <v>160</v>
      </c>
      <c r="G17" t="s">
        <v>187</v>
      </c>
      <c r="H17" t="s">
        <v>191</v>
      </c>
      <c r="I17" t="s">
        <v>209</v>
      </c>
      <c r="J17" t="s">
        <v>212</v>
      </c>
    </row>
    <row r="18" spans="1:10" x14ac:dyDescent="0.25">
      <c r="A18" t="s">
        <v>239</v>
      </c>
      <c r="B18" t="s">
        <v>163</v>
      </c>
      <c r="C18" t="s">
        <v>139</v>
      </c>
      <c r="D18" t="s">
        <v>61</v>
      </c>
      <c r="E18" t="s">
        <v>150</v>
      </c>
      <c r="F18" t="s">
        <v>203</v>
      </c>
      <c r="G18" t="s">
        <v>199</v>
      </c>
      <c r="H18" t="s">
        <v>68</v>
      </c>
      <c r="I18" t="s">
        <v>137</v>
      </c>
    </row>
    <row r="19" spans="1:10" x14ac:dyDescent="0.25">
      <c r="A19" t="s">
        <v>240</v>
      </c>
      <c r="B19" t="s">
        <v>76</v>
      </c>
      <c r="C19" t="s">
        <v>142</v>
      </c>
      <c r="D19" t="s">
        <v>133</v>
      </c>
      <c r="E19" t="s">
        <v>181</v>
      </c>
      <c r="F19" t="s">
        <v>273</v>
      </c>
      <c r="G19" t="s">
        <v>143</v>
      </c>
      <c r="H19" t="s">
        <v>177</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0FC52-90F3-40B4-996E-AB216ACA99C2}">
  <sheetPr codeName="Feuil13"/>
  <dimension ref="A1:Y19"/>
  <sheetViews>
    <sheetView workbookViewId="0">
      <selection activeCell="N32" sqref="N32"/>
    </sheetView>
  </sheetViews>
  <sheetFormatPr baseColWidth="10" defaultRowHeight="15" x14ac:dyDescent="0.25"/>
  <cols>
    <col min="1" max="1" width="9.42578125" bestFit="1" customWidth="1"/>
    <col min="2" max="10" width="8.5703125" bestFit="1" customWidth="1"/>
    <col min="11" max="36" width="8.7109375" bestFit="1" customWidth="1"/>
  </cols>
  <sheetData>
    <row r="1" spans="1:25" s="2" customFormat="1" x14ac:dyDescent="0.25">
      <c r="A1" s="2" t="s">
        <v>80</v>
      </c>
      <c r="B1" s="2" t="s">
        <v>1</v>
      </c>
      <c r="C1" s="2" t="s">
        <v>9</v>
      </c>
      <c r="D1" s="2" t="s">
        <v>42</v>
      </c>
      <c r="E1" s="2" t="s">
        <v>49</v>
      </c>
      <c r="F1" s="2" t="s">
        <v>72</v>
      </c>
      <c r="G1" s="2" t="s">
        <v>77</v>
      </c>
      <c r="H1" s="2" t="s">
        <v>116</v>
      </c>
      <c r="I1" s="2" t="s">
        <v>117</v>
      </c>
      <c r="J1" s="2" t="s">
        <v>118</v>
      </c>
      <c r="K1" s="2" t="s">
        <v>119</v>
      </c>
      <c r="L1" s="2" t="s">
        <v>120</v>
      </c>
      <c r="M1" s="2" t="s">
        <v>121</v>
      </c>
      <c r="N1" s="2" t="s">
        <v>122</v>
      </c>
      <c r="O1" s="2" t="s">
        <v>123</v>
      </c>
      <c r="P1" s="2" t="s">
        <v>124</v>
      </c>
      <c r="Q1" s="2" t="s">
        <v>125</v>
      </c>
      <c r="R1" s="2" t="s">
        <v>126</v>
      </c>
      <c r="S1" s="2" t="s">
        <v>127</v>
      </c>
      <c r="T1" s="2" t="s">
        <v>128</v>
      </c>
      <c r="U1" s="2" t="s">
        <v>129</v>
      </c>
      <c r="V1" s="2" t="s">
        <v>130</v>
      </c>
      <c r="W1" s="2" t="s">
        <v>246</v>
      </c>
      <c r="X1" s="2" t="s">
        <v>247</v>
      </c>
      <c r="Y1" s="2" t="s">
        <v>248</v>
      </c>
    </row>
    <row r="2" spans="1:25" x14ac:dyDescent="0.25">
      <c r="A2" t="s">
        <v>85</v>
      </c>
      <c r="B2" t="s">
        <v>259</v>
      </c>
      <c r="C2" t="s">
        <v>263</v>
      </c>
      <c r="D2" t="s">
        <v>271</v>
      </c>
      <c r="E2" t="s">
        <v>269</v>
      </c>
      <c r="F2" t="s">
        <v>265</v>
      </c>
      <c r="G2" t="s">
        <v>252</v>
      </c>
      <c r="H2" t="s">
        <v>272</v>
      </c>
      <c r="I2" t="s">
        <v>266</v>
      </c>
      <c r="J2" t="s">
        <v>249</v>
      </c>
      <c r="K2" t="s">
        <v>257</v>
      </c>
      <c r="L2" t="s">
        <v>268</v>
      </c>
      <c r="M2" t="s">
        <v>253</v>
      </c>
      <c r="N2" t="s">
        <v>264</v>
      </c>
      <c r="O2" t="s">
        <v>250</v>
      </c>
      <c r="P2" t="s">
        <v>262</v>
      </c>
      <c r="Q2" t="s">
        <v>261</v>
      </c>
      <c r="R2" t="s">
        <v>256</v>
      </c>
      <c r="S2" t="s">
        <v>254</v>
      </c>
      <c r="T2" t="s">
        <v>267</v>
      </c>
      <c r="U2" t="s">
        <v>260</v>
      </c>
      <c r="V2" t="s">
        <v>270</v>
      </c>
      <c r="W2" t="s">
        <v>258</v>
      </c>
      <c r="X2" t="s">
        <v>251</v>
      </c>
      <c r="Y2" t="s">
        <v>255</v>
      </c>
    </row>
    <row r="3" spans="1:25" x14ac:dyDescent="0.25">
      <c r="A3" t="s">
        <v>86</v>
      </c>
      <c r="B3" t="s">
        <v>257</v>
      </c>
      <c r="C3" t="s">
        <v>270</v>
      </c>
      <c r="D3" t="s">
        <v>259</v>
      </c>
      <c r="E3" t="s">
        <v>261</v>
      </c>
      <c r="F3" t="s">
        <v>266</v>
      </c>
      <c r="G3" t="s">
        <v>250</v>
      </c>
      <c r="H3" t="s">
        <v>254</v>
      </c>
      <c r="I3" t="s">
        <v>265</v>
      </c>
      <c r="J3" t="s">
        <v>253</v>
      </c>
      <c r="K3" t="s">
        <v>264</v>
      </c>
      <c r="L3" t="s">
        <v>252</v>
      </c>
      <c r="M3" t="s">
        <v>258</v>
      </c>
      <c r="N3" t="s">
        <v>272</v>
      </c>
      <c r="O3" t="s">
        <v>255</v>
      </c>
      <c r="P3" t="s">
        <v>268</v>
      </c>
      <c r="Q3" t="s">
        <v>271</v>
      </c>
      <c r="R3" t="s">
        <v>256</v>
      </c>
      <c r="S3" t="s">
        <v>263</v>
      </c>
      <c r="T3" t="s">
        <v>267</v>
      </c>
      <c r="U3" t="s">
        <v>249</v>
      </c>
      <c r="V3" t="s">
        <v>269</v>
      </c>
      <c r="W3" t="s">
        <v>260</v>
      </c>
      <c r="X3" t="s">
        <v>251</v>
      </c>
      <c r="Y3" t="s">
        <v>262</v>
      </c>
    </row>
    <row r="4" spans="1:25" x14ac:dyDescent="0.25">
      <c r="A4" t="s">
        <v>87</v>
      </c>
      <c r="B4" t="s">
        <v>257</v>
      </c>
      <c r="C4" t="s">
        <v>269</v>
      </c>
      <c r="D4" t="s">
        <v>263</v>
      </c>
      <c r="E4" t="s">
        <v>265</v>
      </c>
      <c r="F4" t="s">
        <v>258</v>
      </c>
      <c r="G4" t="s">
        <v>260</v>
      </c>
      <c r="H4" t="s">
        <v>253</v>
      </c>
      <c r="I4" t="s">
        <v>251</v>
      </c>
      <c r="J4" t="s">
        <v>266</v>
      </c>
      <c r="K4" t="s">
        <v>262</v>
      </c>
      <c r="L4" t="s">
        <v>250</v>
      </c>
      <c r="M4" t="s">
        <v>261</v>
      </c>
      <c r="N4" t="s">
        <v>264</v>
      </c>
      <c r="O4" t="s">
        <v>268</v>
      </c>
      <c r="P4" t="s">
        <v>267</v>
      </c>
      <c r="Q4" t="s">
        <v>252</v>
      </c>
      <c r="R4" t="s">
        <v>272</v>
      </c>
      <c r="S4" t="s">
        <v>255</v>
      </c>
      <c r="T4" t="s">
        <v>271</v>
      </c>
      <c r="U4" t="s">
        <v>256</v>
      </c>
      <c r="V4" t="s">
        <v>249</v>
      </c>
      <c r="W4" t="s">
        <v>270</v>
      </c>
      <c r="X4" t="s">
        <v>259</v>
      </c>
      <c r="Y4" t="s">
        <v>254</v>
      </c>
    </row>
    <row r="5" spans="1:25" x14ac:dyDescent="0.25">
      <c r="A5" t="s">
        <v>226</v>
      </c>
      <c r="B5" t="s">
        <v>256</v>
      </c>
      <c r="C5" t="s">
        <v>254</v>
      </c>
      <c r="D5" t="s">
        <v>263</v>
      </c>
      <c r="E5" t="s">
        <v>252</v>
      </c>
      <c r="F5" t="s">
        <v>272</v>
      </c>
      <c r="G5" t="s">
        <v>250</v>
      </c>
      <c r="H5" t="s">
        <v>262</v>
      </c>
      <c r="I5" t="s">
        <v>265</v>
      </c>
      <c r="J5" t="s">
        <v>255</v>
      </c>
      <c r="K5" t="s">
        <v>257</v>
      </c>
      <c r="L5" t="s">
        <v>271</v>
      </c>
      <c r="M5" t="s">
        <v>261</v>
      </c>
      <c r="N5" t="s">
        <v>260</v>
      </c>
      <c r="O5" t="s">
        <v>251</v>
      </c>
      <c r="P5" t="s">
        <v>267</v>
      </c>
      <c r="Q5" t="s">
        <v>249</v>
      </c>
      <c r="R5" t="s">
        <v>266</v>
      </c>
      <c r="S5" t="s">
        <v>268</v>
      </c>
      <c r="T5" t="s">
        <v>253</v>
      </c>
      <c r="U5" t="s">
        <v>264</v>
      </c>
      <c r="V5" t="s">
        <v>258</v>
      </c>
      <c r="W5" t="s">
        <v>270</v>
      </c>
      <c r="X5" t="s">
        <v>269</v>
      </c>
      <c r="Y5" t="s">
        <v>259</v>
      </c>
    </row>
    <row r="6" spans="1:25" x14ac:dyDescent="0.25">
      <c r="A6" t="s">
        <v>227</v>
      </c>
      <c r="B6" t="s">
        <v>268</v>
      </c>
      <c r="C6" t="s">
        <v>249</v>
      </c>
      <c r="D6" t="s">
        <v>269</v>
      </c>
      <c r="E6" t="s">
        <v>271</v>
      </c>
      <c r="F6" t="s">
        <v>272</v>
      </c>
      <c r="G6" t="s">
        <v>252</v>
      </c>
      <c r="H6" t="s">
        <v>256</v>
      </c>
      <c r="I6" t="s">
        <v>270</v>
      </c>
      <c r="J6" t="s">
        <v>255</v>
      </c>
      <c r="K6" t="s">
        <v>250</v>
      </c>
      <c r="L6" t="s">
        <v>265</v>
      </c>
      <c r="M6" t="s">
        <v>266</v>
      </c>
      <c r="N6" t="s">
        <v>253</v>
      </c>
      <c r="O6" t="s">
        <v>258</v>
      </c>
      <c r="P6" t="s">
        <v>260</v>
      </c>
      <c r="Q6" t="s">
        <v>251</v>
      </c>
      <c r="R6" t="s">
        <v>267</v>
      </c>
      <c r="S6" t="s">
        <v>264</v>
      </c>
      <c r="T6" t="s">
        <v>254</v>
      </c>
      <c r="U6" t="s">
        <v>263</v>
      </c>
      <c r="V6" t="s">
        <v>257</v>
      </c>
      <c r="W6" t="s">
        <v>261</v>
      </c>
      <c r="X6" t="s">
        <v>259</v>
      </c>
      <c r="Y6" t="s">
        <v>262</v>
      </c>
    </row>
    <row r="7" spans="1:25" x14ac:dyDescent="0.25">
      <c r="A7" t="s">
        <v>228</v>
      </c>
      <c r="B7" t="s">
        <v>261</v>
      </c>
      <c r="C7" t="s">
        <v>255</v>
      </c>
      <c r="D7" t="s">
        <v>260</v>
      </c>
      <c r="E7" t="s">
        <v>268</v>
      </c>
      <c r="F7" t="s">
        <v>251</v>
      </c>
      <c r="G7" t="s">
        <v>266</v>
      </c>
      <c r="H7" t="s">
        <v>253</v>
      </c>
      <c r="I7" t="s">
        <v>259</v>
      </c>
      <c r="J7" t="s">
        <v>271</v>
      </c>
      <c r="K7" t="s">
        <v>262</v>
      </c>
      <c r="L7" t="s">
        <v>269</v>
      </c>
      <c r="M7" t="s">
        <v>254</v>
      </c>
      <c r="N7" t="s">
        <v>258</v>
      </c>
      <c r="O7" t="s">
        <v>270</v>
      </c>
      <c r="P7" t="s">
        <v>263</v>
      </c>
      <c r="Q7" t="s">
        <v>264</v>
      </c>
      <c r="R7" t="s">
        <v>250</v>
      </c>
      <c r="S7" t="s">
        <v>252</v>
      </c>
      <c r="T7" t="s">
        <v>256</v>
      </c>
      <c r="U7" t="s">
        <v>272</v>
      </c>
      <c r="V7" t="s">
        <v>257</v>
      </c>
      <c r="W7" t="s">
        <v>265</v>
      </c>
      <c r="X7" t="s">
        <v>249</v>
      </c>
      <c r="Y7" t="s">
        <v>267</v>
      </c>
    </row>
    <row r="8" spans="1:25" x14ac:dyDescent="0.25">
      <c r="A8" t="s">
        <v>229</v>
      </c>
      <c r="B8" t="s">
        <v>258</v>
      </c>
      <c r="C8" t="s">
        <v>249</v>
      </c>
      <c r="D8" t="s">
        <v>261</v>
      </c>
      <c r="E8" t="s">
        <v>272</v>
      </c>
      <c r="F8" t="s">
        <v>271</v>
      </c>
      <c r="G8" t="s">
        <v>262</v>
      </c>
      <c r="H8" t="s">
        <v>270</v>
      </c>
      <c r="I8" t="s">
        <v>257</v>
      </c>
      <c r="J8" t="s">
        <v>256</v>
      </c>
      <c r="K8" t="s">
        <v>269</v>
      </c>
      <c r="L8" t="s">
        <v>259</v>
      </c>
      <c r="M8" t="s">
        <v>268</v>
      </c>
      <c r="N8" t="s">
        <v>252</v>
      </c>
      <c r="O8" t="s">
        <v>260</v>
      </c>
      <c r="P8" t="s">
        <v>253</v>
      </c>
      <c r="Q8" t="s">
        <v>267</v>
      </c>
      <c r="R8" t="s">
        <v>263</v>
      </c>
      <c r="S8" t="s">
        <v>266</v>
      </c>
      <c r="T8" t="s">
        <v>254</v>
      </c>
      <c r="U8" t="s">
        <v>255</v>
      </c>
      <c r="V8" t="s">
        <v>264</v>
      </c>
      <c r="W8" t="s">
        <v>251</v>
      </c>
      <c r="X8" t="s">
        <v>250</v>
      </c>
      <c r="Y8" t="s">
        <v>265</v>
      </c>
    </row>
    <row r="9" spans="1:25" x14ac:dyDescent="0.25">
      <c r="A9" t="s">
        <v>230</v>
      </c>
      <c r="B9" t="s">
        <v>269</v>
      </c>
      <c r="C9" t="s">
        <v>249</v>
      </c>
      <c r="D9" t="s">
        <v>267</v>
      </c>
      <c r="E9" t="s">
        <v>272</v>
      </c>
      <c r="F9" t="s">
        <v>266</v>
      </c>
      <c r="G9" t="s">
        <v>258</v>
      </c>
      <c r="H9" t="s">
        <v>264</v>
      </c>
      <c r="I9" t="s">
        <v>259</v>
      </c>
      <c r="J9" t="s">
        <v>254</v>
      </c>
      <c r="K9" t="s">
        <v>257</v>
      </c>
      <c r="L9" t="s">
        <v>262</v>
      </c>
      <c r="M9" t="s">
        <v>253</v>
      </c>
      <c r="N9" t="s">
        <v>270</v>
      </c>
      <c r="O9" t="s">
        <v>251</v>
      </c>
      <c r="P9" t="s">
        <v>271</v>
      </c>
      <c r="Q9" t="s">
        <v>256</v>
      </c>
      <c r="R9" t="s">
        <v>268</v>
      </c>
      <c r="S9" t="s">
        <v>261</v>
      </c>
      <c r="T9" t="s">
        <v>265</v>
      </c>
      <c r="U9" t="s">
        <v>255</v>
      </c>
      <c r="V9" t="s">
        <v>260</v>
      </c>
      <c r="W9" t="s">
        <v>263</v>
      </c>
      <c r="X9" t="s">
        <v>250</v>
      </c>
      <c r="Y9" t="s">
        <v>252</v>
      </c>
    </row>
    <row r="10" spans="1:25" x14ac:dyDescent="0.25">
      <c r="A10" t="s">
        <v>231</v>
      </c>
      <c r="B10" t="s">
        <v>272</v>
      </c>
      <c r="C10" t="s">
        <v>258</v>
      </c>
      <c r="D10" t="s">
        <v>267</v>
      </c>
      <c r="E10" t="s">
        <v>259</v>
      </c>
      <c r="F10" t="s">
        <v>255</v>
      </c>
      <c r="G10" t="s">
        <v>249</v>
      </c>
      <c r="H10" t="s">
        <v>252</v>
      </c>
      <c r="I10" t="s">
        <v>262</v>
      </c>
      <c r="J10" t="s">
        <v>257</v>
      </c>
      <c r="K10" t="s">
        <v>250</v>
      </c>
      <c r="L10" t="s">
        <v>254</v>
      </c>
      <c r="M10" t="s">
        <v>268</v>
      </c>
      <c r="N10" t="s">
        <v>266</v>
      </c>
      <c r="O10" t="s">
        <v>253</v>
      </c>
      <c r="P10" t="s">
        <v>271</v>
      </c>
      <c r="Q10" t="s">
        <v>265</v>
      </c>
      <c r="R10" t="s">
        <v>256</v>
      </c>
      <c r="S10" t="s">
        <v>263</v>
      </c>
      <c r="T10" t="s">
        <v>270</v>
      </c>
      <c r="U10" t="s">
        <v>269</v>
      </c>
      <c r="V10" t="s">
        <v>264</v>
      </c>
      <c r="W10" t="s">
        <v>260</v>
      </c>
      <c r="X10" t="s">
        <v>261</v>
      </c>
      <c r="Y10" t="s">
        <v>251</v>
      </c>
    </row>
    <row r="11" spans="1:25" x14ac:dyDescent="0.25">
      <c r="A11" t="s">
        <v>232</v>
      </c>
      <c r="B11" t="s">
        <v>266</v>
      </c>
      <c r="C11" t="s">
        <v>265</v>
      </c>
      <c r="D11" t="s">
        <v>258</v>
      </c>
      <c r="E11" t="s">
        <v>249</v>
      </c>
      <c r="F11" t="s">
        <v>260</v>
      </c>
      <c r="G11" t="s">
        <v>261</v>
      </c>
      <c r="H11" t="s">
        <v>259</v>
      </c>
      <c r="I11" t="s">
        <v>263</v>
      </c>
      <c r="J11" t="s">
        <v>264</v>
      </c>
      <c r="K11" t="s">
        <v>268</v>
      </c>
      <c r="L11" t="s">
        <v>252</v>
      </c>
      <c r="M11" t="s">
        <v>262</v>
      </c>
      <c r="N11" t="s">
        <v>256</v>
      </c>
      <c r="O11" t="s">
        <v>257</v>
      </c>
      <c r="P11" t="s">
        <v>272</v>
      </c>
      <c r="Q11" t="s">
        <v>253</v>
      </c>
      <c r="R11" t="s">
        <v>270</v>
      </c>
      <c r="S11" t="s">
        <v>255</v>
      </c>
      <c r="T11" t="s">
        <v>271</v>
      </c>
      <c r="U11" t="s">
        <v>250</v>
      </c>
      <c r="V11" t="s">
        <v>267</v>
      </c>
      <c r="W11" t="s">
        <v>269</v>
      </c>
      <c r="X11" t="s">
        <v>251</v>
      </c>
      <c r="Y11" t="s">
        <v>254</v>
      </c>
    </row>
    <row r="12" spans="1:25" x14ac:dyDescent="0.25">
      <c r="A12" t="s">
        <v>233</v>
      </c>
      <c r="B12" t="s">
        <v>265</v>
      </c>
      <c r="C12" t="s">
        <v>269</v>
      </c>
      <c r="D12" t="s">
        <v>250</v>
      </c>
      <c r="E12" t="s">
        <v>272</v>
      </c>
      <c r="F12" t="s">
        <v>263</v>
      </c>
      <c r="G12" t="s">
        <v>268</v>
      </c>
      <c r="H12" t="s">
        <v>251</v>
      </c>
      <c r="I12" t="s">
        <v>261</v>
      </c>
      <c r="J12" t="s">
        <v>270</v>
      </c>
      <c r="K12" t="s">
        <v>255</v>
      </c>
      <c r="L12" t="s">
        <v>252</v>
      </c>
      <c r="M12" t="s">
        <v>259</v>
      </c>
      <c r="N12" t="s">
        <v>249</v>
      </c>
      <c r="O12" t="s">
        <v>267</v>
      </c>
      <c r="P12" t="s">
        <v>253</v>
      </c>
      <c r="Q12" t="s">
        <v>254</v>
      </c>
      <c r="R12" t="s">
        <v>257</v>
      </c>
      <c r="S12" t="s">
        <v>262</v>
      </c>
      <c r="T12" t="s">
        <v>260</v>
      </c>
      <c r="U12" t="s">
        <v>264</v>
      </c>
      <c r="V12" t="s">
        <v>256</v>
      </c>
      <c r="W12" t="s">
        <v>258</v>
      </c>
      <c r="X12" t="s">
        <v>266</v>
      </c>
      <c r="Y12" t="s">
        <v>271</v>
      </c>
    </row>
    <row r="13" spans="1:25" x14ac:dyDescent="0.25">
      <c r="A13" t="s">
        <v>234</v>
      </c>
      <c r="B13" t="s">
        <v>263</v>
      </c>
      <c r="C13" t="s">
        <v>270</v>
      </c>
      <c r="D13" t="s">
        <v>251</v>
      </c>
      <c r="E13" t="s">
        <v>252</v>
      </c>
      <c r="F13" t="s">
        <v>272</v>
      </c>
      <c r="G13" t="s">
        <v>256</v>
      </c>
      <c r="H13" t="s">
        <v>271</v>
      </c>
      <c r="I13" t="s">
        <v>254</v>
      </c>
      <c r="J13" t="s">
        <v>249</v>
      </c>
      <c r="K13" t="s">
        <v>267</v>
      </c>
      <c r="L13" t="s">
        <v>260</v>
      </c>
      <c r="M13" t="s">
        <v>266</v>
      </c>
      <c r="N13" t="s">
        <v>259</v>
      </c>
      <c r="O13" t="s">
        <v>257</v>
      </c>
      <c r="P13" t="s">
        <v>255</v>
      </c>
      <c r="Q13" t="s">
        <v>265</v>
      </c>
      <c r="R13" t="s">
        <v>262</v>
      </c>
      <c r="S13" t="s">
        <v>253</v>
      </c>
      <c r="T13" t="s">
        <v>258</v>
      </c>
      <c r="U13" t="s">
        <v>268</v>
      </c>
      <c r="V13" t="s">
        <v>269</v>
      </c>
      <c r="W13" t="s">
        <v>250</v>
      </c>
      <c r="X13" t="s">
        <v>261</v>
      </c>
      <c r="Y13" t="s">
        <v>264</v>
      </c>
    </row>
    <row r="14" spans="1:25" x14ac:dyDescent="0.25">
      <c r="A14" t="s">
        <v>235</v>
      </c>
      <c r="B14" t="s">
        <v>266</v>
      </c>
      <c r="C14" t="s">
        <v>267</v>
      </c>
      <c r="D14" t="s">
        <v>254</v>
      </c>
      <c r="E14" t="s">
        <v>261</v>
      </c>
      <c r="F14" t="s">
        <v>253</v>
      </c>
      <c r="G14" t="s">
        <v>250</v>
      </c>
      <c r="H14" t="s">
        <v>259</v>
      </c>
      <c r="I14" t="s">
        <v>269</v>
      </c>
      <c r="J14" t="s">
        <v>256</v>
      </c>
      <c r="K14" t="s">
        <v>263</v>
      </c>
      <c r="L14" t="s">
        <v>257</v>
      </c>
      <c r="M14" t="s">
        <v>265</v>
      </c>
      <c r="N14" t="s">
        <v>271</v>
      </c>
      <c r="O14" t="s">
        <v>255</v>
      </c>
      <c r="P14" t="s">
        <v>270</v>
      </c>
      <c r="Q14" t="s">
        <v>258</v>
      </c>
      <c r="R14" t="s">
        <v>251</v>
      </c>
      <c r="S14" t="s">
        <v>262</v>
      </c>
      <c r="T14" t="s">
        <v>272</v>
      </c>
      <c r="U14" t="s">
        <v>264</v>
      </c>
      <c r="V14" t="s">
        <v>252</v>
      </c>
      <c r="W14" t="s">
        <v>260</v>
      </c>
      <c r="X14" t="s">
        <v>268</v>
      </c>
      <c r="Y14" t="s">
        <v>249</v>
      </c>
    </row>
    <row r="15" spans="1:25" x14ac:dyDescent="0.25">
      <c r="A15" t="s">
        <v>236</v>
      </c>
      <c r="B15" t="s">
        <v>260</v>
      </c>
      <c r="C15" t="s">
        <v>272</v>
      </c>
      <c r="D15" t="s">
        <v>271</v>
      </c>
      <c r="E15" t="s">
        <v>257</v>
      </c>
      <c r="F15" t="s">
        <v>263</v>
      </c>
      <c r="G15" t="s">
        <v>261</v>
      </c>
      <c r="H15" t="s">
        <v>255</v>
      </c>
      <c r="I15" t="s">
        <v>268</v>
      </c>
      <c r="J15" t="s">
        <v>265</v>
      </c>
      <c r="K15" t="s">
        <v>262</v>
      </c>
      <c r="L15" t="s">
        <v>270</v>
      </c>
      <c r="M15" t="s">
        <v>266</v>
      </c>
      <c r="N15" t="s">
        <v>252</v>
      </c>
      <c r="O15" t="s">
        <v>250</v>
      </c>
      <c r="P15" t="s">
        <v>258</v>
      </c>
      <c r="Q15" t="s">
        <v>251</v>
      </c>
      <c r="R15" t="s">
        <v>259</v>
      </c>
      <c r="S15" t="s">
        <v>269</v>
      </c>
      <c r="T15" t="s">
        <v>267</v>
      </c>
      <c r="U15" t="s">
        <v>249</v>
      </c>
      <c r="V15" t="s">
        <v>254</v>
      </c>
      <c r="W15" t="s">
        <v>264</v>
      </c>
      <c r="X15" t="s">
        <v>253</v>
      </c>
      <c r="Y15" t="s">
        <v>256</v>
      </c>
    </row>
    <row r="16" spans="1:25" x14ac:dyDescent="0.25">
      <c r="A16" t="s">
        <v>237</v>
      </c>
      <c r="B16" t="s">
        <v>257</v>
      </c>
      <c r="C16" t="s">
        <v>259</v>
      </c>
      <c r="D16" t="s">
        <v>255</v>
      </c>
      <c r="E16" t="s">
        <v>268</v>
      </c>
      <c r="F16" t="s">
        <v>267</v>
      </c>
      <c r="G16" t="s">
        <v>254</v>
      </c>
      <c r="H16" t="s">
        <v>269</v>
      </c>
      <c r="I16" t="s">
        <v>249</v>
      </c>
      <c r="J16" t="s">
        <v>263</v>
      </c>
      <c r="K16" t="s">
        <v>266</v>
      </c>
      <c r="L16" t="s">
        <v>270</v>
      </c>
      <c r="M16" t="s">
        <v>271</v>
      </c>
      <c r="N16" t="s">
        <v>262</v>
      </c>
      <c r="O16" t="s">
        <v>252</v>
      </c>
      <c r="P16" t="s">
        <v>256</v>
      </c>
      <c r="Q16" t="s">
        <v>272</v>
      </c>
      <c r="R16" t="s">
        <v>253</v>
      </c>
      <c r="S16" t="s">
        <v>250</v>
      </c>
      <c r="T16" t="s">
        <v>251</v>
      </c>
      <c r="U16" t="s">
        <v>261</v>
      </c>
      <c r="V16" t="s">
        <v>258</v>
      </c>
      <c r="W16" t="s">
        <v>265</v>
      </c>
      <c r="X16" t="s">
        <v>260</v>
      </c>
      <c r="Y16" t="s">
        <v>264</v>
      </c>
    </row>
    <row r="17" spans="1:25" x14ac:dyDescent="0.25">
      <c r="A17" t="s">
        <v>238</v>
      </c>
      <c r="B17" t="s">
        <v>270</v>
      </c>
      <c r="C17" t="s">
        <v>253</v>
      </c>
      <c r="D17" t="s">
        <v>258</v>
      </c>
      <c r="E17" t="s">
        <v>267</v>
      </c>
      <c r="F17" t="s">
        <v>259</v>
      </c>
      <c r="G17" t="s">
        <v>250</v>
      </c>
      <c r="H17" t="s">
        <v>249</v>
      </c>
      <c r="I17" t="s">
        <v>263</v>
      </c>
      <c r="J17" t="s">
        <v>261</v>
      </c>
      <c r="K17" t="s">
        <v>254</v>
      </c>
      <c r="L17" t="s">
        <v>256</v>
      </c>
      <c r="M17" t="s">
        <v>255</v>
      </c>
      <c r="N17" t="s">
        <v>264</v>
      </c>
      <c r="O17" t="s">
        <v>265</v>
      </c>
      <c r="P17" t="s">
        <v>260</v>
      </c>
      <c r="Q17" t="s">
        <v>269</v>
      </c>
      <c r="R17" t="s">
        <v>257</v>
      </c>
      <c r="S17" t="s">
        <v>266</v>
      </c>
      <c r="T17" t="s">
        <v>272</v>
      </c>
      <c r="U17" t="s">
        <v>251</v>
      </c>
      <c r="V17" t="s">
        <v>252</v>
      </c>
      <c r="W17" t="s">
        <v>268</v>
      </c>
      <c r="X17" t="s">
        <v>271</v>
      </c>
      <c r="Y17" t="s">
        <v>262</v>
      </c>
    </row>
    <row r="18" spans="1:25" x14ac:dyDescent="0.25">
      <c r="A18" t="s">
        <v>239</v>
      </c>
      <c r="B18" t="s">
        <v>259</v>
      </c>
      <c r="C18" t="s">
        <v>255</v>
      </c>
      <c r="D18" t="s">
        <v>265</v>
      </c>
      <c r="E18" t="s">
        <v>266</v>
      </c>
      <c r="F18" t="s">
        <v>256</v>
      </c>
      <c r="G18" t="s">
        <v>261</v>
      </c>
      <c r="H18" t="s">
        <v>250</v>
      </c>
      <c r="I18" t="s">
        <v>268</v>
      </c>
      <c r="J18" t="s">
        <v>251</v>
      </c>
      <c r="K18" t="s">
        <v>271</v>
      </c>
      <c r="L18" t="s">
        <v>257</v>
      </c>
      <c r="M18" t="s">
        <v>249</v>
      </c>
      <c r="N18" t="s">
        <v>267</v>
      </c>
      <c r="O18" t="s">
        <v>260</v>
      </c>
      <c r="P18" t="s">
        <v>262</v>
      </c>
      <c r="Q18" t="s">
        <v>272</v>
      </c>
      <c r="R18" t="s">
        <v>254</v>
      </c>
      <c r="S18" t="s">
        <v>253</v>
      </c>
      <c r="T18" t="s">
        <v>270</v>
      </c>
      <c r="U18" t="s">
        <v>258</v>
      </c>
      <c r="V18" t="s">
        <v>269</v>
      </c>
      <c r="W18" t="s">
        <v>263</v>
      </c>
      <c r="X18" t="s">
        <v>252</v>
      </c>
      <c r="Y18" t="s">
        <v>264</v>
      </c>
    </row>
    <row r="19" spans="1:25" x14ac:dyDescent="0.25">
      <c r="A19" t="s">
        <v>240</v>
      </c>
      <c r="B19" t="s">
        <v>251</v>
      </c>
      <c r="C19" t="s">
        <v>257</v>
      </c>
      <c r="D19" t="s">
        <v>267</v>
      </c>
      <c r="E19" t="s">
        <v>265</v>
      </c>
      <c r="F19" t="s">
        <v>268</v>
      </c>
      <c r="G19" t="s">
        <v>269</v>
      </c>
      <c r="H19" t="s">
        <v>263</v>
      </c>
      <c r="I19" t="s">
        <v>264</v>
      </c>
      <c r="J19" t="s">
        <v>252</v>
      </c>
      <c r="K19" t="s">
        <v>256</v>
      </c>
      <c r="L19" t="s">
        <v>249</v>
      </c>
      <c r="M19" t="s">
        <v>254</v>
      </c>
      <c r="N19" t="s">
        <v>253</v>
      </c>
      <c r="O19" t="s">
        <v>262</v>
      </c>
      <c r="P19" t="s">
        <v>260</v>
      </c>
      <c r="Q19" t="s">
        <v>270</v>
      </c>
      <c r="R19" t="s">
        <v>266</v>
      </c>
      <c r="S19" t="s">
        <v>250</v>
      </c>
      <c r="T19" t="s">
        <v>258</v>
      </c>
      <c r="U19" t="s">
        <v>255</v>
      </c>
      <c r="V19" t="s">
        <v>261</v>
      </c>
      <c r="W19" t="s">
        <v>259</v>
      </c>
      <c r="X19" t="s">
        <v>272</v>
      </c>
      <c r="Y19" t="s">
        <v>271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13</vt:i4>
      </vt:variant>
    </vt:vector>
  </HeadingPairs>
  <TitlesOfParts>
    <vt:vector size="13" baseType="lpstr">
      <vt:lpstr>Home</vt:lpstr>
      <vt:lpstr>Préférences_Élèves</vt:lpstr>
      <vt:lpstr>Préférences_Projets</vt:lpstr>
      <vt:lpstr>Résultats</vt:lpstr>
      <vt:lpstr>Log_Affectation</vt:lpstr>
      <vt:lpstr>Affectations_par_Projet</vt:lpstr>
      <vt:lpstr>Rapport_Satisfaction</vt:lpstr>
      <vt:lpstr>Bilan_Performance</vt:lpstr>
      <vt:lpstr>Details_Suivi</vt:lpstr>
      <vt:lpstr>Verification_Finale</vt:lpstr>
      <vt:lpstr>Dashboard</vt:lpstr>
      <vt:lpstr>Équipes</vt:lpstr>
      <vt:lpstr>Préférences_Équipes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Valéry Farcy</dc:creator>
  <cp:lastModifiedBy>FARCY Valery</cp:lastModifiedBy>
  <dcterms:created xsi:type="dcterms:W3CDTF">2025-06-26T15:59:08Z</dcterms:created>
  <dcterms:modified xsi:type="dcterms:W3CDTF">2026-07-24T08:00:50Z</dcterms:modified>
</cp:coreProperties>
</file>